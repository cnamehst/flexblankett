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ate1904="1" codeName="ThisWorkbook"/>
  <mc:AlternateContent xmlns:mc="http://schemas.openxmlformats.org/markup-compatibility/2006">
    <mc:Choice Requires="x15">
      <x15ac:absPath xmlns:x15ac="http://schemas.microsoft.com/office/spreadsheetml/2010/11/ac" url="/Users/hst/Downloads/"/>
    </mc:Choice>
  </mc:AlternateContent>
  <xr:revisionPtr revIDLastSave="0" documentId="13_ncr:1_{25464E95-6843-494A-8E9F-E76FFBD7F382}" xr6:coauthVersionLast="47" xr6:coauthVersionMax="47" xr10:uidLastSave="{00000000-0000-0000-0000-000000000000}"/>
  <bookViews>
    <workbookView xWindow="21160" yWindow="600" windowWidth="23380" windowHeight="17760" firstSheet="4" activeTab="5" xr2:uid="{00000000-000D-0000-FFFF-FFFF00000000}"/>
  </bookViews>
  <sheets>
    <sheet name="hjälp" sheetId="1" r:id="rId1"/>
    <sheet name="exempel" sheetId="2" r:id="rId2"/>
    <sheet name="översikt" sheetId="3" r:id="rId3"/>
    <sheet name="januari" sheetId="4" r:id="rId4"/>
    <sheet name="februari" sheetId="5" r:id="rId5"/>
    <sheet name="mars" sheetId="6" r:id="rId6"/>
    <sheet name="april" sheetId="7" r:id="rId7"/>
    <sheet name="maj" sheetId="8" r:id="rId8"/>
    <sheet name="juni" sheetId="9" r:id="rId9"/>
    <sheet name="juli" sheetId="10" r:id="rId10"/>
    <sheet name="augusti" sheetId="11" r:id="rId11"/>
    <sheet name="september" sheetId="12" r:id="rId12"/>
    <sheet name="oktober" sheetId="13" r:id="rId13"/>
    <sheet name="november" sheetId="14" r:id="rId14"/>
    <sheet name="december" sheetId="15" r:id="rId15"/>
  </sheets>
  <definedNames>
    <definedName name="Blankettinfo">översikt!$A$32</definedName>
    <definedName name="Dagen">översikt!$A$33</definedName>
    <definedName name="Namn">översikt!$B$3</definedName>
    <definedName name="Pnr">översikt!$B$4</definedName>
    <definedName name="Rubrik">översikt!$G$1</definedName>
    <definedName name="Saldo_apr">april!$I$2</definedName>
    <definedName name="Saldo_aug">augusti!$I$2</definedName>
    <definedName name="Saldo_dec">december!$I$2</definedName>
    <definedName name="Saldo_feb">februari!$I$2</definedName>
    <definedName name="Saldo_jan">januari!$I$2</definedName>
    <definedName name="Saldo_jul">juli!$I$2</definedName>
    <definedName name="Saldo_jun">juni!$I$2</definedName>
    <definedName name="Saldo_maj">maj!$I$2</definedName>
    <definedName name="Saldo_mar">mars!$I$2</definedName>
    <definedName name="Saldo_nov">november!$I$2</definedName>
    <definedName name="Saldo_okt">oktober!$I$2</definedName>
    <definedName name="Saldo_sep">september!$I$2</definedName>
    <definedName name="Tjgrad">översikt!$B$6</definedName>
    <definedName name="UB_apr">april!$I$4</definedName>
    <definedName name="UB_aug">augusti!$I$4</definedName>
    <definedName name="UB_dec">december!$I$4</definedName>
    <definedName name="UB_feb">februari!$I$4</definedName>
    <definedName name="UB_jan">januari!$I$4</definedName>
    <definedName name="UB_jul">juli!$I$4</definedName>
    <definedName name="UB_jun">juni!$I$4</definedName>
    <definedName name="UB_maj">maj!$I$4</definedName>
    <definedName name="UB_mar">mars!$I$4</definedName>
    <definedName name="UB_nov">november!$I$4</definedName>
    <definedName name="UB_okt">oktober!$I$4</definedName>
    <definedName name="UB_sep">september!$I$4</definedName>
    <definedName name="_xlnm.Print_Area" localSheetId="4">februari!$A$1:$O$37</definedName>
    <definedName name="_xlnm.Print_Area" localSheetId="3">januari!$A$1:$O$37</definedName>
    <definedName name="_xlnm.Print_Area" localSheetId="2">översikt!$A$1:$G$32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0" i="15" l="1"/>
  <c r="T38" i="15"/>
  <c r="S38" i="15"/>
  <c r="R38" i="15"/>
  <c r="Q38" i="15"/>
  <c r="P38" i="15"/>
  <c r="M37" i="15"/>
  <c r="E37" i="15"/>
  <c r="D37" i="15"/>
  <c r="M36" i="15"/>
  <c r="E36" i="15"/>
  <c r="F36" i="15" s="1"/>
  <c r="D36" i="15"/>
  <c r="M35" i="15"/>
  <c r="F35" i="15"/>
  <c r="E35" i="15"/>
  <c r="D35" i="15"/>
  <c r="M34" i="15"/>
  <c r="E34" i="15"/>
  <c r="F34" i="15" s="1"/>
  <c r="D34" i="15"/>
  <c r="M33" i="15"/>
  <c r="E33" i="15"/>
  <c r="D33" i="15"/>
  <c r="M32" i="15"/>
  <c r="E32" i="15"/>
  <c r="F32" i="15" s="1"/>
  <c r="D32" i="15"/>
  <c r="M31" i="15"/>
  <c r="E31" i="15"/>
  <c r="D31" i="15"/>
  <c r="M30" i="15"/>
  <c r="E30" i="15"/>
  <c r="D30" i="15"/>
  <c r="M29" i="15"/>
  <c r="F29" i="15"/>
  <c r="E29" i="15"/>
  <c r="D29" i="15"/>
  <c r="M28" i="15"/>
  <c r="E28" i="15"/>
  <c r="D28" i="15"/>
  <c r="M27" i="15"/>
  <c r="F27" i="15"/>
  <c r="E27" i="15"/>
  <c r="D27" i="15"/>
  <c r="M26" i="15"/>
  <c r="E26" i="15"/>
  <c r="F26" i="15" s="1"/>
  <c r="D26" i="15"/>
  <c r="M25" i="15"/>
  <c r="F25" i="15"/>
  <c r="E25" i="15"/>
  <c r="D25" i="15"/>
  <c r="M24" i="15"/>
  <c r="E24" i="15"/>
  <c r="D24" i="15"/>
  <c r="M23" i="15"/>
  <c r="F23" i="15"/>
  <c r="E23" i="15"/>
  <c r="D23" i="15"/>
  <c r="M22" i="15"/>
  <c r="E22" i="15"/>
  <c r="F22" i="15" s="1"/>
  <c r="D22" i="15"/>
  <c r="M21" i="15"/>
  <c r="F21" i="15"/>
  <c r="E21" i="15"/>
  <c r="D21" i="15"/>
  <c r="M20" i="15"/>
  <c r="E20" i="15"/>
  <c r="D20" i="15"/>
  <c r="M19" i="15"/>
  <c r="F19" i="15"/>
  <c r="E19" i="15"/>
  <c r="D19" i="15"/>
  <c r="M18" i="15"/>
  <c r="E18" i="15"/>
  <c r="F18" i="15" s="1"/>
  <c r="D18" i="15"/>
  <c r="M17" i="15"/>
  <c r="F17" i="15"/>
  <c r="E17" i="15"/>
  <c r="D17" i="15"/>
  <c r="M16" i="15"/>
  <c r="E16" i="15"/>
  <c r="D16" i="15"/>
  <c r="M15" i="15"/>
  <c r="F15" i="15"/>
  <c r="E15" i="15"/>
  <c r="D15" i="15"/>
  <c r="M14" i="15"/>
  <c r="E14" i="15"/>
  <c r="F14" i="15" s="1"/>
  <c r="D14" i="15"/>
  <c r="M13" i="15"/>
  <c r="F13" i="15"/>
  <c r="E13" i="15"/>
  <c r="D13" i="15"/>
  <c r="M12" i="15"/>
  <c r="E12" i="15"/>
  <c r="D12" i="15"/>
  <c r="M11" i="15"/>
  <c r="F11" i="15"/>
  <c r="E11" i="15"/>
  <c r="D11" i="15"/>
  <c r="M10" i="15"/>
  <c r="E10" i="15"/>
  <c r="F10" i="15" s="1"/>
  <c r="D10" i="15"/>
  <c r="A10" i="15"/>
  <c r="A11" i="15" s="1"/>
  <c r="U11" i="15" s="1"/>
  <c r="M9" i="15"/>
  <c r="F9" i="15"/>
  <c r="E9" i="15"/>
  <c r="D9" i="15"/>
  <c r="M8" i="15"/>
  <c r="E8" i="15"/>
  <c r="D8" i="15"/>
  <c r="A8" i="15"/>
  <c r="A9" i="15" s="1"/>
  <c r="U9" i="15" s="1"/>
  <c r="M7" i="15"/>
  <c r="F7" i="15"/>
  <c r="E7" i="15"/>
  <c r="W7" i="15" s="1"/>
  <c r="D7" i="15"/>
  <c r="B4" i="15"/>
  <c r="B3" i="15"/>
  <c r="A7" i="15" s="1"/>
  <c r="U7" i="15" s="1"/>
  <c r="V7" i="15" s="1"/>
  <c r="B2" i="15"/>
  <c r="I1" i="15"/>
  <c r="B1" i="15"/>
  <c r="A40" i="14"/>
  <c r="T38" i="14"/>
  <c r="S38" i="14"/>
  <c r="R38" i="14"/>
  <c r="Q38" i="14"/>
  <c r="P38" i="14"/>
  <c r="M36" i="14"/>
  <c r="F36" i="14"/>
  <c r="E36" i="14"/>
  <c r="D36" i="14"/>
  <c r="M35" i="14"/>
  <c r="E35" i="14"/>
  <c r="D35" i="14"/>
  <c r="M34" i="14"/>
  <c r="E34" i="14"/>
  <c r="D34" i="14"/>
  <c r="M33" i="14"/>
  <c r="F33" i="14"/>
  <c r="E33" i="14"/>
  <c r="D33" i="14"/>
  <c r="M32" i="14"/>
  <c r="F32" i="14"/>
  <c r="E32" i="14"/>
  <c r="D32" i="14"/>
  <c r="M31" i="14"/>
  <c r="E31" i="14"/>
  <c r="D31" i="14"/>
  <c r="M30" i="14"/>
  <c r="E30" i="14"/>
  <c r="D30" i="14"/>
  <c r="M29" i="14"/>
  <c r="E29" i="14"/>
  <c r="D29" i="14"/>
  <c r="M28" i="14"/>
  <c r="F28" i="14"/>
  <c r="E28" i="14"/>
  <c r="D28" i="14"/>
  <c r="M27" i="14"/>
  <c r="E27" i="14"/>
  <c r="D27" i="14"/>
  <c r="M26" i="14"/>
  <c r="E26" i="14"/>
  <c r="D26" i="14"/>
  <c r="M25" i="14"/>
  <c r="F25" i="14"/>
  <c r="E25" i="14"/>
  <c r="D25" i="14"/>
  <c r="M24" i="14"/>
  <c r="F24" i="14"/>
  <c r="E24" i="14"/>
  <c r="D24" i="14"/>
  <c r="M23" i="14"/>
  <c r="E23" i="14"/>
  <c r="F23" i="14" s="1"/>
  <c r="D23" i="14"/>
  <c r="M22" i="14"/>
  <c r="E22" i="14"/>
  <c r="D22" i="14"/>
  <c r="M21" i="14"/>
  <c r="E21" i="14"/>
  <c r="F21" i="14" s="1"/>
  <c r="D21" i="14"/>
  <c r="M20" i="14"/>
  <c r="F20" i="14"/>
  <c r="E20" i="14"/>
  <c r="D20" i="14"/>
  <c r="M19" i="14"/>
  <c r="E19" i="14"/>
  <c r="F19" i="14" s="1"/>
  <c r="D19" i="14"/>
  <c r="M18" i="14"/>
  <c r="E18" i="14"/>
  <c r="D18" i="14"/>
  <c r="M17" i="14"/>
  <c r="E17" i="14"/>
  <c r="F17" i="14" s="1"/>
  <c r="D17" i="14"/>
  <c r="M16" i="14"/>
  <c r="F16" i="14"/>
  <c r="E16" i="14"/>
  <c r="D16" i="14"/>
  <c r="M15" i="14"/>
  <c r="E15" i="14"/>
  <c r="F15" i="14" s="1"/>
  <c r="D15" i="14"/>
  <c r="M14" i="14"/>
  <c r="E14" i="14"/>
  <c r="D14" i="14"/>
  <c r="M13" i="14"/>
  <c r="F13" i="14"/>
  <c r="E13" i="14"/>
  <c r="D13" i="14"/>
  <c r="M12" i="14"/>
  <c r="F12" i="14"/>
  <c r="E12" i="14"/>
  <c r="D12" i="14"/>
  <c r="M11" i="14"/>
  <c r="E11" i="14"/>
  <c r="F11" i="14" s="1"/>
  <c r="D11" i="14"/>
  <c r="M10" i="14"/>
  <c r="E10" i="14"/>
  <c r="D10" i="14"/>
  <c r="M9" i="14"/>
  <c r="F9" i="14"/>
  <c r="E9" i="14"/>
  <c r="D9" i="14"/>
  <c r="M8" i="14"/>
  <c r="F8" i="14"/>
  <c r="E8" i="14"/>
  <c r="D8" i="14"/>
  <c r="M7" i="14"/>
  <c r="E7" i="14"/>
  <c r="D7" i="14"/>
  <c r="A7" i="14"/>
  <c r="B4" i="14"/>
  <c r="B3" i="14"/>
  <c r="I1" i="14" s="1"/>
  <c r="B2" i="14"/>
  <c r="B1" i="14"/>
  <c r="A40" i="13"/>
  <c r="T38" i="13"/>
  <c r="S38" i="13"/>
  <c r="R38" i="13"/>
  <c r="Q38" i="13"/>
  <c r="P38" i="13"/>
  <c r="M37" i="13"/>
  <c r="F37" i="13"/>
  <c r="E37" i="13"/>
  <c r="D37" i="13"/>
  <c r="M36" i="13"/>
  <c r="F36" i="13"/>
  <c r="E36" i="13"/>
  <c r="D36" i="13"/>
  <c r="M35" i="13"/>
  <c r="E35" i="13"/>
  <c r="F35" i="13" s="1"/>
  <c r="D35" i="13"/>
  <c r="M34" i="13"/>
  <c r="E34" i="13"/>
  <c r="D34" i="13"/>
  <c r="M33" i="13"/>
  <c r="E33" i="13"/>
  <c r="D33" i="13"/>
  <c r="M32" i="13"/>
  <c r="F32" i="13"/>
  <c r="E32" i="13"/>
  <c r="D32" i="13"/>
  <c r="M31" i="13"/>
  <c r="E31" i="13"/>
  <c r="F31" i="13" s="1"/>
  <c r="D31" i="13"/>
  <c r="M30" i="13"/>
  <c r="E30" i="13"/>
  <c r="D30" i="13"/>
  <c r="M29" i="13"/>
  <c r="E29" i="13"/>
  <c r="D29" i="13"/>
  <c r="M28" i="13"/>
  <c r="F28" i="13"/>
  <c r="E28" i="13"/>
  <c r="D28" i="13"/>
  <c r="M27" i="13"/>
  <c r="E27" i="13"/>
  <c r="F27" i="13" s="1"/>
  <c r="D27" i="13"/>
  <c r="M26" i="13"/>
  <c r="E26" i="13"/>
  <c r="D26" i="13"/>
  <c r="M25" i="13"/>
  <c r="E25" i="13"/>
  <c r="D25" i="13"/>
  <c r="M24" i="13"/>
  <c r="F24" i="13"/>
  <c r="E24" i="13"/>
  <c r="D24" i="13"/>
  <c r="M23" i="13"/>
  <c r="E23" i="13"/>
  <c r="F23" i="13" s="1"/>
  <c r="D23" i="13"/>
  <c r="M22" i="13"/>
  <c r="E22" i="13"/>
  <c r="D22" i="13"/>
  <c r="M21" i="13"/>
  <c r="E21" i="13"/>
  <c r="D21" i="13"/>
  <c r="M20" i="13"/>
  <c r="F20" i="13"/>
  <c r="E20" i="13"/>
  <c r="D20" i="13"/>
  <c r="M19" i="13"/>
  <c r="E19" i="13"/>
  <c r="F19" i="13" s="1"/>
  <c r="D19" i="13"/>
  <c r="M18" i="13"/>
  <c r="E18" i="13"/>
  <c r="D18" i="13"/>
  <c r="M17" i="13"/>
  <c r="E17" i="13"/>
  <c r="D17" i="13"/>
  <c r="M16" i="13"/>
  <c r="F16" i="13"/>
  <c r="E16" i="13"/>
  <c r="D16" i="13"/>
  <c r="M15" i="13"/>
  <c r="E15" i="13"/>
  <c r="F15" i="13" s="1"/>
  <c r="D15" i="13"/>
  <c r="M14" i="13"/>
  <c r="E14" i="13"/>
  <c r="D14" i="13"/>
  <c r="M13" i="13"/>
  <c r="F13" i="13"/>
  <c r="E13" i="13"/>
  <c r="D13" i="13"/>
  <c r="M12" i="13"/>
  <c r="F12" i="13"/>
  <c r="E12" i="13"/>
  <c r="D12" i="13"/>
  <c r="M11" i="13"/>
  <c r="F2" i="13" s="1"/>
  <c r="E11" i="13"/>
  <c r="F11" i="13" s="1"/>
  <c r="D11" i="13"/>
  <c r="M10" i="13"/>
  <c r="E10" i="13"/>
  <c r="D10" i="13"/>
  <c r="M9" i="13"/>
  <c r="F9" i="13"/>
  <c r="E9" i="13"/>
  <c r="D9" i="13"/>
  <c r="W8" i="13"/>
  <c r="M8" i="13"/>
  <c r="F8" i="13"/>
  <c r="E8" i="13"/>
  <c r="D8" i="13"/>
  <c r="W7" i="13"/>
  <c r="M7" i="13"/>
  <c r="E7" i="13"/>
  <c r="F7" i="13" s="1"/>
  <c r="D7" i="13"/>
  <c r="A7" i="13"/>
  <c r="B4" i="13"/>
  <c r="I1" i="13" s="1"/>
  <c r="B3" i="13"/>
  <c r="B2" i="13"/>
  <c r="B1" i="13"/>
  <c r="A40" i="12"/>
  <c r="T38" i="12"/>
  <c r="S38" i="12"/>
  <c r="R38" i="12"/>
  <c r="Q38" i="12"/>
  <c r="P38" i="12"/>
  <c r="M36" i="12"/>
  <c r="F36" i="12"/>
  <c r="E36" i="12"/>
  <c r="D36" i="12"/>
  <c r="M35" i="12"/>
  <c r="F35" i="12"/>
  <c r="E35" i="12"/>
  <c r="D35" i="12"/>
  <c r="M34" i="12"/>
  <c r="E34" i="12"/>
  <c r="F34" i="12" s="1"/>
  <c r="D34" i="12"/>
  <c r="M33" i="12"/>
  <c r="F33" i="12"/>
  <c r="E33" i="12"/>
  <c r="D33" i="12"/>
  <c r="M32" i="12"/>
  <c r="F32" i="12"/>
  <c r="E32" i="12"/>
  <c r="D32" i="12"/>
  <c r="M31" i="12"/>
  <c r="F31" i="12"/>
  <c r="E31" i="12"/>
  <c r="D31" i="12"/>
  <c r="M30" i="12"/>
  <c r="E30" i="12"/>
  <c r="F30" i="12" s="1"/>
  <c r="D30" i="12"/>
  <c r="M29" i="12"/>
  <c r="E29" i="12"/>
  <c r="D29" i="12"/>
  <c r="M28" i="12"/>
  <c r="F28" i="12"/>
  <c r="E28" i="12"/>
  <c r="D28" i="12"/>
  <c r="M27" i="12"/>
  <c r="F27" i="12"/>
  <c r="E27" i="12"/>
  <c r="D27" i="12"/>
  <c r="M26" i="12"/>
  <c r="E26" i="12"/>
  <c r="F26" i="12" s="1"/>
  <c r="D26" i="12"/>
  <c r="M25" i="12"/>
  <c r="F25" i="12"/>
  <c r="E25" i="12"/>
  <c r="D25" i="12"/>
  <c r="M24" i="12"/>
  <c r="F24" i="12"/>
  <c r="E24" i="12"/>
  <c r="D24" i="12"/>
  <c r="M23" i="12"/>
  <c r="F23" i="12"/>
  <c r="E23" i="12"/>
  <c r="D23" i="12"/>
  <c r="M22" i="12"/>
  <c r="E22" i="12"/>
  <c r="F22" i="12" s="1"/>
  <c r="D22" i="12"/>
  <c r="M21" i="12"/>
  <c r="F21" i="12"/>
  <c r="E21" i="12"/>
  <c r="D21" i="12"/>
  <c r="M20" i="12"/>
  <c r="E20" i="12"/>
  <c r="D20" i="12"/>
  <c r="M19" i="12"/>
  <c r="F19" i="12"/>
  <c r="E19" i="12"/>
  <c r="D19" i="12"/>
  <c r="M18" i="12"/>
  <c r="E18" i="12"/>
  <c r="F18" i="12" s="1"/>
  <c r="D18" i="12"/>
  <c r="M17" i="12"/>
  <c r="F17" i="12"/>
  <c r="E17" i="12"/>
  <c r="D17" i="12"/>
  <c r="M16" i="12"/>
  <c r="F16" i="12"/>
  <c r="E16" i="12"/>
  <c r="D16" i="12"/>
  <c r="M15" i="12"/>
  <c r="F15" i="12"/>
  <c r="E15" i="12"/>
  <c r="D15" i="12"/>
  <c r="M14" i="12"/>
  <c r="E14" i="12"/>
  <c r="F14" i="12" s="1"/>
  <c r="D14" i="12"/>
  <c r="M13" i="12"/>
  <c r="F13" i="12"/>
  <c r="E13" i="12"/>
  <c r="D13" i="12"/>
  <c r="M12" i="12"/>
  <c r="E12" i="12"/>
  <c r="D12" i="12"/>
  <c r="M11" i="12"/>
  <c r="F11" i="12"/>
  <c r="E11" i="12"/>
  <c r="D11" i="12"/>
  <c r="M10" i="12"/>
  <c r="E10" i="12"/>
  <c r="F10" i="12" s="1"/>
  <c r="D10" i="12"/>
  <c r="M9" i="12"/>
  <c r="F9" i="12"/>
  <c r="E9" i="12"/>
  <c r="D9" i="12"/>
  <c r="M8" i="12"/>
  <c r="F8" i="12"/>
  <c r="E8" i="12"/>
  <c r="D8" i="12"/>
  <c r="M7" i="12"/>
  <c r="F7" i="12"/>
  <c r="E7" i="12"/>
  <c r="D7" i="12"/>
  <c r="A7" i="12"/>
  <c r="B4" i="12"/>
  <c r="B3" i="12"/>
  <c r="B2" i="12"/>
  <c r="I1" i="12"/>
  <c r="B1" i="12"/>
  <c r="A40" i="11"/>
  <c r="T38" i="11"/>
  <c r="S38" i="11"/>
  <c r="R38" i="11"/>
  <c r="Q38" i="11"/>
  <c r="P38" i="11"/>
  <c r="M37" i="11"/>
  <c r="E37" i="11"/>
  <c r="D37" i="11"/>
  <c r="M36" i="11"/>
  <c r="F36" i="11"/>
  <c r="E36" i="11"/>
  <c r="D36" i="11"/>
  <c r="M35" i="11"/>
  <c r="F35" i="11"/>
  <c r="E35" i="11"/>
  <c r="D35" i="11"/>
  <c r="M34" i="11"/>
  <c r="E34" i="11"/>
  <c r="F34" i="11" s="1"/>
  <c r="D34" i="11"/>
  <c r="M33" i="11"/>
  <c r="E33" i="11"/>
  <c r="D33" i="11"/>
  <c r="M32" i="11"/>
  <c r="F32" i="11"/>
  <c r="E32" i="11"/>
  <c r="D32" i="11"/>
  <c r="M31" i="11"/>
  <c r="F31" i="11"/>
  <c r="E31" i="11"/>
  <c r="D31" i="11"/>
  <c r="M30" i="11"/>
  <c r="E30" i="11"/>
  <c r="F30" i="11" s="1"/>
  <c r="D30" i="11"/>
  <c r="M29" i="11"/>
  <c r="E29" i="11"/>
  <c r="D29" i="11"/>
  <c r="M28" i="11"/>
  <c r="F28" i="11"/>
  <c r="E28" i="11"/>
  <c r="D28" i="11"/>
  <c r="M27" i="11"/>
  <c r="F27" i="11"/>
  <c r="E27" i="11"/>
  <c r="D27" i="11"/>
  <c r="M26" i="11"/>
  <c r="E26" i="11"/>
  <c r="F26" i="11" s="1"/>
  <c r="D26" i="11"/>
  <c r="M25" i="11"/>
  <c r="E25" i="11"/>
  <c r="D25" i="11"/>
  <c r="M24" i="11"/>
  <c r="E24" i="11"/>
  <c r="D24" i="11"/>
  <c r="M23" i="11"/>
  <c r="F23" i="11"/>
  <c r="E23" i="11"/>
  <c r="D23" i="11"/>
  <c r="M22" i="11"/>
  <c r="E22" i="11"/>
  <c r="F22" i="11" s="1"/>
  <c r="D22" i="11"/>
  <c r="M21" i="11"/>
  <c r="E21" i="11"/>
  <c r="D21" i="11"/>
  <c r="M20" i="11"/>
  <c r="F20" i="11"/>
  <c r="E20" i="11"/>
  <c r="D20" i="11"/>
  <c r="M19" i="11"/>
  <c r="F19" i="11"/>
  <c r="E19" i="11"/>
  <c r="D19" i="11"/>
  <c r="M18" i="11"/>
  <c r="F18" i="11"/>
  <c r="E18" i="11"/>
  <c r="D18" i="11"/>
  <c r="M17" i="11"/>
  <c r="E17" i="11"/>
  <c r="D17" i="11"/>
  <c r="M16" i="11"/>
  <c r="E16" i="11"/>
  <c r="D16" i="11"/>
  <c r="M15" i="11"/>
  <c r="F15" i="11"/>
  <c r="E15" i="11"/>
  <c r="D15" i="11"/>
  <c r="M14" i="11"/>
  <c r="E14" i="11"/>
  <c r="F14" i="11" s="1"/>
  <c r="D14" i="11"/>
  <c r="M13" i="11"/>
  <c r="E13" i="11"/>
  <c r="D13" i="11"/>
  <c r="M12" i="11"/>
  <c r="F12" i="11"/>
  <c r="E12" i="11"/>
  <c r="D12" i="11"/>
  <c r="M11" i="11"/>
  <c r="F11" i="11"/>
  <c r="E11" i="11"/>
  <c r="D11" i="11"/>
  <c r="M10" i="11"/>
  <c r="E10" i="11"/>
  <c r="F10" i="11" s="1"/>
  <c r="D10" i="11"/>
  <c r="M9" i="11"/>
  <c r="E9" i="11"/>
  <c r="D9" i="11"/>
  <c r="M8" i="11"/>
  <c r="F2" i="11" s="1"/>
  <c r="F8" i="11"/>
  <c r="E8" i="11"/>
  <c r="D8" i="11"/>
  <c r="M7" i="11"/>
  <c r="W7" i="11" s="1"/>
  <c r="F7" i="11"/>
  <c r="E7" i="11"/>
  <c r="D7" i="11"/>
  <c r="A7" i="11"/>
  <c r="A8" i="11" s="1"/>
  <c r="A9" i="11" s="1"/>
  <c r="U9" i="11" s="1"/>
  <c r="B4" i="11"/>
  <c r="B3" i="11"/>
  <c r="B2" i="11"/>
  <c r="I1" i="11"/>
  <c r="B1" i="11"/>
  <c r="A40" i="10"/>
  <c r="T38" i="10"/>
  <c r="S38" i="10"/>
  <c r="R38" i="10"/>
  <c r="Q38" i="10"/>
  <c r="P38" i="10"/>
  <c r="M37" i="10"/>
  <c r="E37" i="10"/>
  <c r="D37" i="10"/>
  <c r="M36" i="10"/>
  <c r="E36" i="10"/>
  <c r="D36" i="10"/>
  <c r="M35" i="10"/>
  <c r="F35" i="10"/>
  <c r="E35" i="10"/>
  <c r="D35" i="10"/>
  <c r="M34" i="10"/>
  <c r="E34" i="10"/>
  <c r="F34" i="10" s="1"/>
  <c r="D34" i="10"/>
  <c r="M33" i="10"/>
  <c r="F33" i="10"/>
  <c r="E33" i="10"/>
  <c r="D33" i="10"/>
  <c r="M32" i="10"/>
  <c r="F32" i="10"/>
  <c r="E32" i="10"/>
  <c r="D32" i="10"/>
  <c r="M31" i="10"/>
  <c r="E31" i="10"/>
  <c r="D31" i="10"/>
  <c r="M30" i="10"/>
  <c r="E30" i="10"/>
  <c r="D30" i="10"/>
  <c r="M29" i="10"/>
  <c r="F29" i="10"/>
  <c r="E29" i="10"/>
  <c r="D29" i="10"/>
  <c r="M28" i="10"/>
  <c r="F28" i="10"/>
  <c r="E28" i="10"/>
  <c r="D28" i="10"/>
  <c r="M27" i="10"/>
  <c r="E27" i="10"/>
  <c r="D27" i="10"/>
  <c r="M26" i="10"/>
  <c r="E26" i="10"/>
  <c r="F26" i="10" s="1"/>
  <c r="D26" i="10"/>
  <c r="M25" i="10"/>
  <c r="E25" i="10"/>
  <c r="D25" i="10"/>
  <c r="M24" i="10"/>
  <c r="F24" i="10"/>
  <c r="E24" i="10"/>
  <c r="D24" i="10"/>
  <c r="M23" i="10"/>
  <c r="E23" i="10"/>
  <c r="D23" i="10"/>
  <c r="M22" i="10"/>
  <c r="E22" i="10"/>
  <c r="F22" i="10" s="1"/>
  <c r="D22" i="10"/>
  <c r="M21" i="10"/>
  <c r="E21" i="10"/>
  <c r="D21" i="10"/>
  <c r="M20" i="10"/>
  <c r="E20" i="10"/>
  <c r="F20" i="10" s="1"/>
  <c r="D20" i="10"/>
  <c r="M19" i="10"/>
  <c r="E19" i="10"/>
  <c r="D19" i="10"/>
  <c r="M18" i="10"/>
  <c r="E18" i="10"/>
  <c r="D18" i="10"/>
  <c r="M17" i="10"/>
  <c r="F17" i="10"/>
  <c r="E17" i="10"/>
  <c r="D17" i="10"/>
  <c r="M16" i="10"/>
  <c r="F16" i="10"/>
  <c r="E16" i="10"/>
  <c r="D16" i="10"/>
  <c r="M15" i="10"/>
  <c r="E15" i="10"/>
  <c r="F15" i="10" s="1"/>
  <c r="D15" i="10"/>
  <c r="M14" i="10"/>
  <c r="F14" i="10"/>
  <c r="E14" i="10"/>
  <c r="D14" i="10"/>
  <c r="M13" i="10"/>
  <c r="F13" i="10"/>
  <c r="E13" i="10"/>
  <c r="D13" i="10"/>
  <c r="M12" i="10"/>
  <c r="F12" i="10"/>
  <c r="E12" i="10"/>
  <c r="D12" i="10"/>
  <c r="M11" i="10"/>
  <c r="E11" i="10"/>
  <c r="F11" i="10" s="1"/>
  <c r="D11" i="10"/>
  <c r="M10" i="10"/>
  <c r="F10" i="10"/>
  <c r="E10" i="10"/>
  <c r="D10" i="10"/>
  <c r="M9" i="10"/>
  <c r="E9" i="10"/>
  <c r="F9" i="10" s="1"/>
  <c r="D9" i="10"/>
  <c r="M8" i="10"/>
  <c r="F8" i="10"/>
  <c r="E8" i="10"/>
  <c r="D8" i="10"/>
  <c r="M7" i="10"/>
  <c r="F7" i="10"/>
  <c r="E7" i="10"/>
  <c r="W7" i="10" s="1"/>
  <c r="D7" i="10"/>
  <c r="B4" i="10"/>
  <c r="B3" i="10"/>
  <c r="B2" i="10"/>
  <c r="B1" i="10"/>
  <c r="A40" i="9"/>
  <c r="T38" i="9"/>
  <c r="S38" i="9"/>
  <c r="R38" i="9"/>
  <c r="Q38" i="9"/>
  <c r="P38" i="9"/>
  <c r="M36" i="9"/>
  <c r="E36" i="9"/>
  <c r="D36" i="9"/>
  <c r="M35" i="9"/>
  <c r="F35" i="9"/>
  <c r="E35" i="9"/>
  <c r="D35" i="9"/>
  <c r="M34" i="9"/>
  <c r="F34" i="9"/>
  <c r="E34" i="9"/>
  <c r="D34" i="9"/>
  <c r="M33" i="9"/>
  <c r="E33" i="9"/>
  <c r="F33" i="9" s="1"/>
  <c r="D33" i="9"/>
  <c r="M32" i="9"/>
  <c r="F32" i="9"/>
  <c r="E32" i="9"/>
  <c r="D32" i="9"/>
  <c r="M31" i="9"/>
  <c r="E31" i="9"/>
  <c r="F31" i="9" s="1"/>
  <c r="D31" i="9"/>
  <c r="M30" i="9"/>
  <c r="E30" i="9"/>
  <c r="F30" i="9" s="1"/>
  <c r="D30" i="9"/>
  <c r="M29" i="9"/>
  <c r="E29" i="9"/>
  <c r="F29" i="9" s="1"/>
  <c r="D29" i="9"/>
  <c r="M28" i="9"/>
  <c r="E28" i="9"/>
  <c r="D28" i="9"/>
  <c r="M27" i="9"/>
  <c r="E27" i="9"/>
  <c r="F27" i="9" s="1"/>
  <c r="D27" i="9"/>
  <c r="M26" i="9"/>
  <c r="E26" i="9"/>
  <c r="D26" i="9"/>
  <c r="M25" i="9"/>
  <c r="F25" i="9"/>
  <c r="E25" i="9"/>
  <c r="D25" i="9"/>
  <c r="M24" i="9"/>
  <c r="E24" i="9"/>
  <c r="F24" i="9" s="1"/>
  <c r="D24" i="9"/>
  <c r="M23" i="9"/>
  <c r="E23" i="9"/>
  <c r="D23" i="9"/>
  <c r="M22" i="9"/>
  <c r="E22" i="9"/>
  <c r="D22" i="9"/>
  <c r="M21" i="9"/>
  <c r="F21" i="9"/>
  <c r="E21" i="9"/>
  <c r="D21" i="9"/>
  <c r="M20" i="9"/>
  <c r="E20" i="9"/>
  <c r="D20" i="9"/>
  <c r="M19" i="9"/>
  <c r="E19" i="9"/>
  <c r="D19" i="9"/>
  <c r="M18" i="9"/>
  <c r="E18" i="9"/>
  <c r="F18" i="9" s="1"/>
  <c r="D18" i="9"/>
  <c r="M17" i="9"/>
  <c r="F17" i="9"/>
  <c r="E17" i="9"/>
  <c r="D17" i="9"/>
  <c r="M16" i="9"/>
  <c r="E16" i="9"/>
  <c r="D16" i="9"/>
  <c r="M15" i="9"/>
  <c r="E15" i="9"/>
  <c r="D15" i="9"/>
  <c r="M14" i="9"/>
  <c r="E14" i="9"/>
  <c r="D14" i="9"/>
  <c r="M13" i="9"/>
  <c r="F13" i="9"/>
  <c r="E13" i="9"/>
  <c r="D13" i="9"/>
  <c r="M12" i="9"/>
  <c r="F12" i="9"/>
  <c r="E12" i="9"/>
  <c r="D12" i="9"/>
  <c r="M11" i="9"/>
  <c r="E11" i="9"/>
  <c r="D11" i="9"/>
  <c r="M10" i="9"/>
  <c r="E10" i="9"/>
  <c r="F10" i="9" s="1"/>
  <c r="D10" i="9"/>
  <c r="M9" i="9"/>
  <c r="F9" i="9"/>
  <c r="E9" i="9"/>
  <c r="D9" i="9"/>
  <c r="M8" i="9"/>
  <c r="E8" i="9"/>
  <c r="D8" i="9"/>
  <c r="M7" i="9"/>
  <c r="E7" i="9"/>
  <c r="D7" i="9"/>
  <c r="A7" i="9"/>
  <c r="B4" i="9"/>
  <c r="C14" i="3" s="1"/>
  <c r="B3" i="9"/>
  <c r="B2" i="9"/>
  <c r="B1" i="9"/>
  <c r="A40" i="8"/>
  <c r="T38" i="8"/>
  <c r="S38" i="8"/>
  <c r="R38" i="8"/>
  <c r="Q38" i="8"/>
  <c r="P38" i="8"/>
  <c r="M37" i="8"/>
  <c r="E37" i="8"/>
  <c r="F37" i="8" s="1"/>
  <c r="D37" i="8"/>
  <c r="M36" i="8"/>
  <c r="F36" i="8"/>
  <c r="E36" i="8"/>
  <c r="D36" i="8"/>
  <c r="M35" i="8"/>
  <c r="E35" i="8"/>
  <c r="D35" i="8"/>
  <c r="M34" i="8"/>
  <c r="E34" i="8"/>
  <c r="D34" i="8"/>
  <c r="M33" i="8"/>
  <c r="E33" i="8"/>
  <c r="F33" i="8" s="1"/>
  <c r="D33" i="8"/>
  <c r="M32" i="8"/>
  <c r="F32" i="8"/>
  <c r="E32" i="8"/>
  <c r="D32" i="8"/>
  <c r="M31" i="8"/>
  <c r="E31" i="8"/>
  <c r="D31" i="8"/>
  <c r="M30" i="8"/>
  <c r="E30" i="8"/>
  <c r="D30" i="8"/>
  <c r="M29" i="8"/>
  <c r="F29" i="8"/>
  <c r="E29" i="8"/>
  <c r="D29" i="8"/>
  <c r="M28" i="8"/>
  <c r="F28" i="8"/>
  <c r="E28" i="8"/>
  <c r="D28" i="8"/>
  <c r="M27" i="8"/>
  <c r="E27" i="8"/>
  <c r="F27" i="8" s="1"/>
  <c r="D27" i="8"/>
  <c r="M26" i="8"/>
  <c r="E26" i="8"/>
  <c r="D26" i="8"/>
  <c r="M25" i="8"/>
  <c r="E25" i="8"/>
  <c r="D25" i="8"/>
  <c r="M24" i="8"/>
  <c r="E24" i="8"/>
  <c r="F24" i="8" s="1"/>
  <c r="D24" i="8"/>
  <c r="M23" i="8"/>
  <c r="E23" i="8"/>
  <c r="F23" i="8" s="1"/>
  <c r="D23" i="8"/>
  <c r="M22" i="8"/>
  <c r="F22" i="8"/>
  <c r="E22" i="8"/>
  <c r="D22" i="8"/>
  <c r="M21" i="8"/>
  <c r="E21" i="8"/>
  <c r="D21" i="8"/>
  <c r="M20" i="8"/>
  <c r="E20" i="8"/>
  <c r="F20" i="8" s="1"/>
  <c r="D20" i="8"/>
  <c r="M19" i="8"/>
  <c r="F19" i="8"/>
  <c r="E19" i="8"/>
  <c r="D19" i="8"/>
  <c r="M18" i="8"/>
  <c r="E18" i="8"/>
  <c r="D18" i="8"/>
  <c r="M17" i="8"/>
  <c r="E17" i="8"/>
  <c r="F17" i="8" s="1"/>
  <c r="D17" i="8"/>
  <c r="M16" i="8"/>
  <c r="E16" i="8"/>
  <c r="F16" i="8" s="1"/>
  <c r="D16" i="8"/>
  <c r="M15" i="8"/>
  <c r="F15" i="8"/>
  <c r="E15" i="8"/>
  <c r="D15" i="8"/>
  <c r="M14" i="8"/>
  <c r="F14" i="8"/>
  <c r="E14" i="8"/>
  <c r="D14" i="8"/>
  <c r="M13" i="8"/>
  <c r="F13" i="8"/>
  <c r="E13" i="8"/>
  <c r="D13" i="8"/>
  <c r="M12" i="8"/>
  <c r="E12" i="8"/>
  <c r="F12" i="8" s="1"/>
  <c r="D12" i="8"/>
  <c r="M11" i="8"/>
  <c r="F11" i="8"/>
  <c r="E11" i="8"/>
  <c r="D11" i="8"/>
  <c r="M10" i="8"/>
  <c r="E10" i="8"/>
  <c r="D10" i="8"/>
  <c r="A10" i="8"/>
  <c r="M9" i="8"/>
  <c r="F9" i="8"/>
  <c r="E9" i="8"/>
  <c r="D9" i="8"/>
  <c r="A9" i="8"/>
  <c r="U9" i="8" s="1"/>
  <c r="W8" i="8"/>
  <c r="W9" i="8" s="1"/>
  <c r="M8" i="8"/>
  <c r="E8" i="8"/>
  <c r="F8" i="8" s="1"/>
  <c r="D8" i="8"/>
  <c r="W7" i="8"/>
  <c r="V7" i="8"/>
  <c r="M7" i="8"/>
  <c r="E7" i="8"/>
  <c r="F7" i="8" s="1"/>
  <c r="D7" i="8"/>
  <c r="A7" i="8"/>
  <c r="A8" i="8" s="1"/>
  <c r="U8" i="8" s="1"/>
  <c r="V8" i="8" s="1"/>
  <c r="B4" i="8"/>
  <c r="B3" i="8"/>
  <c r="B2" i="8"/>
  <c r="I1" i="8"/>
  <c r="B13" i="3" s="1"/>
  <c r="B1" i="8"/>
  <c r="A40" i="7"/>
  <c r="T38" i="7"/>
  <c r="S38" i="7"/>
  <c r="R38" i="7"/>
  <c r="Q38" i="7"/>
  <c r="P38" i="7"/>
  <c r="M36" i="7"/>
  <c r="E36" i="7"/>
  <c r="F36" i="7" s="1"/>
  <c r="D36" i="7"/>
  <c r="M35" i="7"/>
  <c r="E35" i="7"/>
  <c r="F35" i="7" s="1"/>
  <c r="D35" i="7"/>
  <c r="M34" i="7"/>
  <c r="E34" i="7"/>
  <c r="F34" i="7" s="1"/>
  <c r="D34" i="7"/>
  <c r="M33" i="7"/>
  <c r="E33" i="7"/>
  <c r="F33" i="7" s="1"/>
  <c r="D33" i="7"/>
  <c r="M32" i="7"/>
  <c r="E32" i="7"/>
  <c r="F32" i="7" s="1"/>
  <c r="D32" i="7"/>
  <c r="M31" i="7"/>
  <c r="F31" i="7"/>
  <c r="E31" i="7"/>
  <c r="D31" i="7"/>
  <c r="M30" i="7"/>
  <c r="E30" i="7"/>
  <c r="D30" i="7"/>
  <c r="M29" i="7"/>
  <c r="E29" i="7"/>
  <c r="F29" i="7" s="1"/>
  <c r="D29" i="7"/>
  <c r="M28" i="7"/>
  <c r="F28" i="7"/>
  <c r="E28" i="7"/>
  <c r="D28" i="7"/>
  <c r="M27" i="7"/>
  <c r="E27" i="7"/>
  <c r="D27" i="7"/>
  <c r="M26" i="7"/>
  <c r="F26" i="7"/>
  <c r="E26" i="7"/>
  <c r="D26" i="7"/>
  <c r="M25" i="7"/>
  <c r="E25" i="7"/>
  <c r="F25" i="7" s="1"/>
  <c r="D25" i="7"/>
  <c r="M24" i="7"/>
  <c r="E24" i="7"/>
  <c r="D24" i="7"/>
  <c r="M23" i="7"/>
  <c r="E23" i="7"/>
  <c r="F23" i="7" s="1"/>
  <c r="D23" i="7"/>
  <c r="M22" i="7"/>
  <c r="F22" i="7"/>
  <c r="E22" i="7"/>
  <c r="D22" i="7"/>
  <c r="M21" i="7"/>
  <c r="E21" i="7"/>
  <c r="D21" i="7"/>
  <c r="M20" i="7"/>
  <c r="E20" i="7"/>
  <c r="D20" i="7"/>
  <c r="M19" i="7"/>
  <c r="F19" i="7"/>
  <c r="E19" i="7"/>
  <c r="D19" i="7"/>
  <c r="M18" i="7"/>
  <c r="F18" i="7"/>
  <c r="E18" i="7"/>
  <c r="D18" i="7"/>
  <c r="M17" i="7"/>
  <c r="F17" i="7"/>
  <c r="E17" i="7"/>
  <c r="D17" i="7"/>
  <c r="M16" i="7"/>
  <c r="E16" i="7"/>
  <c r="D16" i="7"/>
  <c r="M15" i="7"/>
  <c r="F15" i="7"/>
  <c r="E15" i="7"/>
  <c r="D15" i="7"/>
  <c r="M14" i="7"/>
  <c r="F14" i="7"/>
  <c r="E14" i="7"/>
  <c r="D14" i="7"/>
  <c r="M13" i="7"/>
  <c r="F13" i="7"/>
  <c r="E13" i="7"/>
  <c r="D13" i="7"/>
  <c r="M12" i="7"/>
  <c r="E12" i="7"/>
  <c r="D12" i="7"/>
  <c r="M11" i="7"/>
  <c r="E11" i="7"/>
  <c r="D11" i="7"/>
  <c r="M10" i="7"/>
  <c r="E10" i="7"/>
  <c r="D10" i="7"/>
  <c r="M9" i="7"/>
  <c r="F9" i="7"/>
  <c r="E9" i="7"/>
  <c r="D9" i="7"/>
  <c r="M8" i="7"/>
  <c r="E8" i="7"/>
  <c r="D8" i="7"/>
  <c r="M7" i="7"/>
  <c r="F2" i="7" s="1"/>
  <c r="F7" i="7"/>
  <c r="E7" i="7"/>
  <c r="D7" i="7"/>
  <c r="B4" i="7"/>
  <c r="B3" i="7"/>
  <c r="B2" i="7"/>
  <c r="B1" i="7"/>
  <c r="A40" i="6"/>
  <c r="T38" i="6"/>
  <c r="S38" i="6"/>
  <c r="R38" i="6"/>
  <c r="Q38" i="6"/>
  <c r="P38" i="6"/>
  <c r="M37" i="6"/>
  <c r="E37" i="6"/>
  <c r="F37" i="6" s="1"/>
  <c r="D37" i="6"/>
  <c r="M36" i="6"/>
  <c r="F36" i="6"/>
  <c r="E36" i="6"/>
  <c r="D36" i="6"/>
  <c r="M35" i="6"/>
  <c r="F35" i="6"/>
  <c r="E35" i="6"/>
  <c r="D35" i="6"/>
  <c r="M34" i="6"/>
  <c r="F34" i="6"/>
  <c r="E34" i="6"/>
  <c r="D34" i="6"/>
  <c r="M33" i="6"/>
  <c r="E33" i="6"/>
  <c r="D33" i="6"/>
  <c r="M32" i="6"/>
  <c r="E32" i="6"/>
  <c r="F32" i="6" s="1"/>
  <c r="D32" i="6"/>
  <c r="M31" i="6"/>
  <c r="E31" i="6"/>
  <c r="F31" i="6" s="1"/>
  <c r="D31" i="6"/>
  <c r="M30" i="6"/>
  <c r="D30" i="6"/>
  <c r="E30" i="6" s="1"/>
  <c r="F30" i="6" s="1"/>
  <c r="M29" i="6"/>
  <c r="D29" i="6"/>
  <c r="E29" i="6" s="1"/>
  <c r="F29" i="6" s="1"/>
  <c r="M28" i="6"/>
  <c r="F28" i="6"/>
  <c r="E28" i="6"/>
  <c r="D28" i="6"/>
  <c r="M27" i="6"/>
  <c r="E27" i="6"/>
  <c r="D27" i="6"/>
  <c r="M26" i="6"/>
  <c r="D26" i="6"/>
  <c r="E26" i="6" s="1"/>
  <c r="M25" i="6"/>
  <c r="D25" i="6"/>
  <c r="E25" i="6" s="1"/>
  <c r="F25" i="6" s="1"/>
  <c r="M24" i="6"/>
  <c r="D24" i="6"/>
  <c r="E24" i="6" s="1"/>
  <c r="F24" i="6" s="1"/>
  <c r="M23" i="6"/>
  <c r="D23" i="6"/>
  <c r="E23" i="6" s="1"/>
  <c r="F23" i="6" s="1"/>
  <c r="M22" i="6"/>
  <c r="E22" i="6"/>
  <c r="D22" i="6"/>
  <c r="M21" i="6"/>
  <c r="E21" i="6"/>
  <c r="F21" i="6" s="1"/>
  <c r="D21" i="6"/>
  <c r="M20" i="6"/>
  <c r="F20" i="6"/>
  <c r="E20" i="6"/>
  <c r="D20" i="6"/>
  <c r="M19" i="6"/>
  <c r="D19" i="6"/>
  <c r="E19" i="6" s="1"/>
  <c r="F19" i="6" s="1"/>
  <c r="M18" i="6"/>
  <c r="D18" i="6"/>
  <c r="E18" i="6" s="1"/>
  <c r="F18" i="6" s="1"/>
  <c r="M17" i="6"/>
  <c r="D17" i="6"/>
  <c r="E17" i="6" s="1"/>
  <c r="M16" i="6"/>
  <c r="D16" i="6"/>
  <c r="E16" i="6" s="1"/>
  <c r="F16" i="6" s="1"/>
  <c r="M15" i="6"/>
  <c r="D15" i="6"/>
  <c r="E15" i="6" s="1"/>
  <c r="F15" i="6" s="1"/>
  <c r="M14" i="6"/>
  <c r="E14" i="6"/>
  <c r="D14" i="6"/>
  <c r="M13" i="6"/>
  <c r="F13" i="6"/>
  <c r="E13" i="6"/>
  <c r="D13" i="6"/>
  <c r="M12" i="6"/>
  <c r="D12" i="6"/>
  <c r="E12" i="6" s="1"/>
  <c r="F12" i="6" s="1"/>
  <c r="M11" i="6"/>
  <c r="D11" i="6"/>
  <c r="E11" i="6" s="1"/>
  <c r="M10" i="6"/>
  <c r="D10" i="6"/>
  <c r="E10" i="6" s="1"/>
  <c r="A10" i="6"/>
  <c r="M9" i="6"/>
  <c r="E9" i="6"/>
  <c r="F9" i="6" s="1"/>
  <c r="D9" i="6"/>
  <c r="A9" i="6"/>
  <c r="U9" i="6" s="1"/>
  <c r="V9" i="6" s="1"/>
  <c r="U8" i="6"/>
  <c r="V8" i="6" s="1"/>
  <c r="M8" i="6"/>
  <c r="E8" i="6"/>
  <c r="F8" i="6" s="1"/>
  <c r="D8" i="6"/>
  <c r="U7" i="6"/>
  <c r="V7" i="6" s="1"/>
  <c r="M7" i="6"/>
  <c r="E7" i="6"/>
  <c r="D7" i="6"/>
  <c r="A7" i="6"/>
  <c r="A8" i="6" s="1"/>
  <c r="B4" i="6"/>
  <c r="B3" i="6"/>
  <c r="B2" i="6"/>
  <c r="I1" i="6"/>
  <c r="B11" i="3" s="1"/>
  <c r="B1" i="6"/>
  <c r="A40" i="4"/>
  <c r="T38" i="4"/>
  <c r="S38" i="4"/>
  <c r="R38" i="4"/>
  <c r="Q38" i="4"/>
  <c r="P38" i="4"/>
  <c r="M37" i="4"/>
  <c r="F37" i="4"/>
  <c r="E37" i="4"/>
  <c r="D37" i="4"/>
  <c r="M36" i="4"/>
  <c r="D36" i="4"/>
  <c r="E36" i="4" s="1"/>
  <c r="F36" i="4" s="1"/>
  <c r="M35" i="4"/>
  <c r="F35" i="4"/>
  <c r="E35" i="4"/>
  <c r="D35" i="4"/>
  <c r="M34" i="4"/>
  <c r="D34" i="4"/>
  <c r="E34" i="4" s="1"/>
  <c r="M33" i="4"/>
  <c r="F33" i="4"/>
  <c r="E33" i="4"/>
  <c r="D33" i="4"/>
  <c r="M32" i="4"/>
  <c r="F32" i="4"/>
  <c r="E32" i="4"/>
  <c r="D32" i="4"/>
  <c r="M31" i="4"/>
  <c r="E31" i="4"/>
  <c r="D31" i="4"/>
  <c r="M30" i="4"/>
  <c r="E30" i="4"/>
  <c r="F30" i="4" s="1"/>
  <c r="D30" i="4"/>
  <c r="M29" i="4"/>
  <c r="F29" i="4"/>
  <c r="E29" i="4"/>
  <c r="D29" i="4"/>
  <c r="M28" i="4"/>
  <c r="F28" i="4"/>
  <c r="E28" i="4"/>
  <c r="D28" i="4"/>
  <c r="M27" i="4"/>
  <c r="E27" i="4"/>
  <c r="D27" i="4"/>
  <c r="M26" i="4"/>
  <c r="E26" i="4"/>
  <c r="F26" i="4" s="1"/>
  <c r="D26" i="4"/>
  <c r="M25" i="4"/>
  <c r="E25" i="4"/>
  <c r="D25" i="4"/>
  <c r="M24" i="4"/>
  <c r="F24" i="4"/>
  <c r="E24" i="4"/>
  <c r="D24" i="4"/>
  <c r="M23" i="4"/>
  <c r="F23" i="4"/>
  <c r="E23" i="4"/>
  <c r="D23" i="4"/>
  <c r="M22" i="4"/>
  <c r="D22" i="4"/>
  <c r="E22" i="4" s="1"/>
  <c r="M21" i="4"/>
  <c r="F21" i="4"/>
  <c r="E21" i="4"/>
  <c r="D21" i="4"/>
  <c r="M20" i="4"/>
  <c r="F20" i="4"/>
  <c r="E20" i="4"/>
  <c r="D20" i="4"/>
  <c r="M19" i="4"/>
  <c r="D19" i="4"/>
  <c r="E19" i="4" s="1"/>
  <c r="M18" i="4"/>
  <c r="E18" i="4"/>
  <c r="F18" i="4" s="1"/>
  <c r="D18" i="4"/>
  <c r="M17" i="4"/>
  <c r="F17" i="4"/>
  <c r="E17" i="4"/>
  <c r="D17" i="4"/>
  <c r="M16" i="4"/>
  <c r="F16" i="4"/>
  <c r="E16" i="4"/>
  <c r="D16" i="4"/>
  <c r="M15" i="4"/>
  <c r="D15" i="4"/>
  <c r="E15" i="4" s="1"/>
  <c r="M14" i="4"/>
  <c r="F14" i="4"/>
  <c r="E14" i="4"/>
  <c r="D14" i="4"/>
  <c r="M13" i="4"/>
  <c r="F13" i="4"/>
  <c r="E13" i="4"/>
  <c r="D13" i="4"/>
  <c r="M12" i="4"/>
  <c r="F12" i="4"/>
  <c r="E12" i="4"/>
  <c r="D12" i="4"/>
  <c r="M11" i="4"/>
  <c r="F11" i="4"/>
  <c r="E11" i="4"/>
  <c r="D11" i="4"/>
  <c r="M10" i="4"/>
  <c r="F10" i="4"/>
  <c r="E10" i="4"/>
  <c r="D10" i="4"/>
  <c r="U9" i="4"/>
  <c r="M9" i="4"/>
  <c r="E9" i="4"/>
  <c r="D9" i="4"/>
  <c r="M8" i="4"/>
  <c r="E8" i="4"/>
  <c r="D8" i="4"/>
  <c r="A8" i="4"/>
  <c r="A9" i="4" s="1"/>
  <c r="A10" i="4" s="1"/>
  <c r="V7" i="4"/>
  <c r="V8" i="4" s="1"/>
  <c r="M7" i="4"/>
  <c r="E7" i="4"/>
  <c r="D7" i="4"/>
  <c r="A7" i="4"/>
  <c r="B4" i="4"/>
  <c r="I3" i="4"/>
  <c r="B3" i="4"/>
  <c r="I1" i="4" s="1"/>
  <c r="B2" i="4"/>
  <c r="B1" i="4"/>
  <c r="A33" i="3"/>
  <c r="N10" i="8" s="1"/>
  <c r="G20" i="3"/>
  <c r="F20" i="3"/>
  <c r="C20" i="3"/>
  <c r="B20" i="3"/>
  <c r="A20" i="3"/>
  <c r="G19" i="3"/>
  <c r="F19" i="3"/>
  <c r="C19" i="3"/>
  <c r="B19" i="3"/>
  <c r="A19" i="3"/>
  <c r="G18" i="3"/>
  <c r="F18" i="3"/>
  <c r="C18" i="3"/>
  <c r="B18" i="3"/>
  <c r="A18" i="3"/>
  <c r="G17" i="3"/>
  <c r="F17" i="3"/>
  <c r="C17" i="3"/>
  <c r="B17" i="3"/>
  <c r="A17" i="3"/>
  <c r="G16" i="3"/>
  <c r="F16" i="3"/>
  <c r="C16" i="3"/>
  <c r="B16" i="3"/>
  <c r="A16" i="3"/>
  <c r="G15" i="3"/>
  <c r="F15" i="3"/>
  <c r="C15" i="3"/>
  <c r="A15" i="3"/>
  <c r="G14" i="3"/>
  <c r="F14" i="3"/>
  <c r="A14" i="3"/>
  <c r="G13" i="3"/>
  <c r="F13" i="3"/>
  <c r="C13" i="3"/>
  <c r="A13" i="3"/>
  <c r="G12" i="3"/>
  <c r="F12" i="3"/>
  <c r="C12" i="3"/>
  <c r="A12" i="3"/>
  <c r="G11" i="3"/>
  <c r="F11" i="3"/>
  <c r="C11" i="3"/>
  <c r="A11" i="3"/>
  <c r="G10" i="3"/>
  <c r="F10" i="3"/>
  <c r="C10" i="3"/>
  <c r="A10" i="3"/>
  <c r="G9" i="3"/>
  <c r="F9" i="3"/>
  <c r="C9" i="3"/>
  <c r="B9" i="3"/>
  <c r="A9" i="3"/>
  <c r="A40" i="5"/>
  <c r="T38" i="5"/>
  <c r="S38" i="5"/>
  <c r="R38" i="5"/>
  <c r="Q38" i="5"/>
  <c r="P38" i="5"/>
  <c r="M34" i="5"/>
  <c r="E34" i="5"/>
  <c r="D34" i="5"/>
  <c r="M33" i="5"/>
  <c r="E33" i="5"/>
  <c r="F33" i="5" s="1"/>
  <c r="D33" i="5"/>
  <c r="M32" i="5"/>
  <c r="F32" i="5"/>
  <c r="E32" i="5"/>
  <c r="D32" i="5"/>
  <c r="M31" i="5"/>
  <c r="E31" i="5"/>
  <c r="F31" i="5" s="1"/>
  <c r="D31" i="5"/>
  <c r="M30" i="5"/>
  <c r="D30" i="5"/>
  <c r="E30" i="5" s="1"/>
  <c r="M29" i="5"/>
  <c r="D29" i="5"/>
  <c r="E29" i="5" s="1"/>
  <c r="M28" i="5"/>
  <c r="F28" i="5"/>
  <c r="E28" i="5"/>
  <c r="D28" i="5"/>
  <c r="M27" i="5"/>
  <c r="E27" i="5"/>
  <c r="F27" i="5" s="1"/>
  <c r="D27" i="5"/>
  <c r="M26" i="5"/>
  <c r="E26" i="5"/>
  <c r="D26" i="5"/>
  <c r="M25" i="5"/>
  <c r="D25" i="5"/>
  <c r="E25" i="5" s="1"/>
  <c r="M24" i="5"/>
  <c r="F24" i="5"/>
  <c r="E24" i="5"/>
  <c r="D24" i="5"/>
  <c r="M23" i="5"/>
  <c r="E23" i="5"/>
  <c r="D23" i="5"/>
  <c r="M22" i="5"/>
  <c r="E22" i="5"/>
  <c r="D22" i="5"/>
  <c r="M21" i="5"/>
  <c r="E21" i="5"/>
  <c r="F21" i="5" s="1"/>
  <c r="D21" i="5"/>
  <c r="M20" i="5"/>
  <c r="F20" i="5"/>
  <c r="E20" i="5"/>
  <c r="D20" i="5"/>
  <c r="M19" i="5"/>
  <c r="E19" i="5"/>
  <c r="D19" i="5"/>
  <c r="M18" i="5"/>
  <c r="D18" i="5"/>
  <c r="E18" i="5" s="1"/>
  <c r="M17" i="5"/>
  <c r="D17" i="5"/>
  <c r="E17" i="5" s="1"/>
  <c r="M16" i="5"/>
  <c r="F16" i="5"/>
  <c r="E16" i="5"/>
  <c r="D16" i="5"/>
  <c r="M15" i="5"/>
  <c r="E15" i="5"/>
  <c r="F15" i="5" s="1"/>
  <c r="D15" i="5"/>
  <c r="M14" i="5"/>
  <c r="E14" i="5"/>
  <c r="D14" i="5"/>
  <c r="M13" i="5"/>
  <c r="E13" i="5"/>
  <c r="F13" i="5" s="1"/>
  <c r="D13" i="5"/>
  <c r="M12" i="5"/>
  <c r="F12" i="5"/>
  <c r="E12" i="5"/>
  <c r="D12" i="5"/>
  <c r="M11" i="5"/>
  <c r="F11" i="5"/>
  <c r="E11" i="5"/>
  <c r="D11" i="5"/>
  <c r="M10" i="5"/>
  <c r="F2" i="5" s="1"/>
  <c r="D10" i="5"/>
  <c r="E10" i="5" s="1"/>
  <c r="M9" i="5"/>
  <c r="E9" i="5"/>
  <c r="F9" i="5" s="1"/>
  <c r="D9" i="5"/>
  <c r="M8" i="5"/>
  <c r="F8" i="5"/>
  <c r="E8" i="5"/>
  <c r="D8" i="5"/>
  <c r="M7" i="5"/>
  <c r="E7" i="5"/>
  <c r="F7" i="5" s="1"/>
  <c r="D7" i="5"/>
  <c r="B4" i="5"/>
  <c r="B3" i="5"/>
  <c r="A7" i="5" s="1"/>
  <c r="B2" i="5"/>
  <c r="B1" i="5"/>
  <c r="N7" i="8" l="1"/>
  <c r="I4" i="8" s="1"/>
  <c r="I3" i="9" s="1"/>
  <c r="F30" i="5"/>
  <c r="F34" i="4"/>
  <c r="F17" i="5"/>
  <c r="F25" i="5"/>
  <c r="F29" i="5"/>
  <c r="A8" i="5"/>
  <c r="U7" i="5"/>
  <c r="V7" i="5" s="1"/>
  <c r="F10" i="5"/>
  <c r="F1" i="5" s="1"/>
  <c r="F3" i="5" s="1"/>
  <c r="F18" i="5"/>
  <c r="F15" i="4"/>
  <c r="F19" i="4"/>
  <c r="U10" i="4"/>
  <c r="V10" i="4" s="1"/>
  <c r="V11" i="4" s="1"/>
  <c r="V12" i="4" s="1"/>
  <c r="A11" i="4"/>
  <c r="A12" i="4" s="1"/>
  <c r="F22" i="4"/>
  <c r="V9" i="4"/>
  <c r="F26" i="6"/>
  <c r="F27" i="7"/>
  <c r="F2" i="6"/>
  <c r="I1" i="5"/>
  <c r="B10" i="3" s="1"/>
  <c r="F22" i="5"/>
  <c r="F9" i="4"/>
  <c r="F24" i="7"/>
  <c r="F11" i="9"/>
  <c r="F19" i="5"/>
  <c r="F34" i="5"/>
  <c r="F7" i="4"/>
  <c r="W7" i="4"/>
  <c r="W8" i="4" s="1"/>
  <c r="F2" i="4"/>
  <c r="F17" i="6"/>
  <c r="F11" i="7"/>
  <c r="W7" i="5"/>
  <c r="W8" i="5" s="1"/>
  <c r="W9" i="5" s="1"/>
  <c r="W10" i="5" s="1"/>
  <c r="W11" i="5" s="1"/>
  <c r="W12" i="5" s="1"/>
  <c r="W13" i="5" s="1"/>
  <c r="W14" i="5" s="1"/>
  <c r="W15" i="5" s="1"/>
  <c r="W16" i="5" s="1"/>
  <c r="W17" i="5" s="1"/>
  <c r="W18" i="5" s="1"/>
  <c r="W19" i="5" s="1"/>
  <c r="W20" i="5" s="1"/>
  <c r="W21" i="5" s="1"/>
  <c r="W22" i="5" s="1"/>
  <c r="W23" i="5" s="1"/>
  <c r="W24" i="5" s="1"/>
  <c r="W25" i="5" s="1"/>
  <c r="W26" i="5" s="1"/>
  <c r="W27" i="5" s="1"/>
  <c r="W28" i="5" s="1"/>
  <c r="W29" i="5" s="1"/>
  <c r="W30" i="5" s="1"/>
  <c r="W31" i="5" s="1"/>
  <c r="W32" i="5" s="1"/>
  <c r="W33" i="5" s="1"/>
  <c r="W34" i="5" s="1"/>
  <c r="F26" i="5"/>
  <c r="F2" i="9"/>
  <c r="F30" i="10"/>
  <c r="F9" i="11"/>
  <c r="A11" i="6"/>
  <c r="U10" i="6"/>
  <c r="V10" i="6" s="1"/>
  <c r="F16" i="7"/>
  <c r="F20" i="7"/>
  <c r="F18" i="8"/>
  <c r="F31" i="4"/>
  <c r="F10" i="6"/>
  <c r="F14" i="6"/>
  <c r="F8" i="4"/>
  <c r="F25" i="4"/>
  <c r="F27" i="4"/>
  <c r="F27" i="6"/>
  <c r="F14" i="5"/>
  <c r="W7" i="7"/>
  <c r="F10" i="7"/>
  <c r="F30" i="7"/>
  <c r="F35" i="8"/>
  <c r="A8" i="9"/>
  <c r="N8" i="9" s="1"/>
  <c r="U7" i="9"/>
  <c r="V7" i="9" s="1"/>
  <c r="F12" i="7"/>
  <c r="F11" i="6"/>
  <c r="F2" i="8"/>
  <c r="F23" i="5"/>
  <c r="F25" i="10"/>
  <c r="W7" i="6"/>
  <c r="W8" i="6" s="1"/>
  <c r="A11" i="8"/>
  <c r="U10" i="8"/>
  <c r="F7" i="6"/>
  <c r="F33" i="6"/>
  <c r="I1" i="7"/>
  <c r="B12" i="3" s="1"/>
  <c r="A7" i="7"/>
  <c r="F8" i="7"/>
  <c r="W8" i="7"/>
  <c r="W9" i="7" s="1"/>
  <c r="W10" i="7" s="1"/>
  <c r="W11" i="7" s="1"/>
  <c r="W12" i="7" s="1"/>
  <c r="W13" i="7" s="1"/>
  <c r="W14" i="7" s="1"/>
  <c r="W15" i="7" s="1"/>
  <c r="W16" i="7" s="1"/>
  <c r="W17" i="7" s="1"/>
  <c r="W18" i="7" s="1"/>
  <c r="W19" i="7" s="1"/>
  <c r="W20" i="7" s="1"/>
  <c r="W21" i="7" s="1"/>
  <c r="W22" i="7" s="1"/>
  <c r="W23" i="7" s="1"/>
  <c r="W24" i="7" s="1"/>
  <c r="W25" i="7" s="1"/>
  <c r="W26" i="7" s="1"/>
  <c r="W27" i="7" s="1"/>
  <c r="W28" i="7" s="1"/>
  <c r="W29" i="7" s="1"/>
  <c r="W30" i="7" s="1"/>
  <c r="W31" i="7" s="1"/>
  <c r="W32" i="7" s="1"/>
  <c r="W33" i="7" s="1"/>
  <c r="W34" i="7" s="1"/>
  <c r="W35" i="7" s="1"/>
  <c r="W36" i="7" s="1"/>
  <c r="F23" i="9"/>
  <c r="F26" i="9"/>
  <c r="F36" i="9"/>
  <c r="F19" i="10"/>
  <c r="V9" i="8"/>
  <c r="F26" i="8"/>
  <c r="F20" i="9"/>
  <c r="F22" i="9"/>
  <c r="N11" i="15"/>
  <c r="N7" i="15"/>
  <c r="I4" i="15" s="1"/>
  <c r="N8" i="15"/>
  <c r="N8" i="11"/>
  <c r="N9" i="15"/>
  <c r="N7" i="12"/>
  <c r="I4" i="12" s="1"/>
  <c r="I3" i="13" s="1"/>
  <c r="N10" i="15"/>
  <c r="N9" i="11"/>
  <c r="N7" i="9"/>
  <c r="I4" i="9" s="1"/>
  <c r="I3" i="10" s="1"/>
  <c r="N7" i="14"/>
  <c r="I4" i="14" s="1"/>
  <c r="I3" i="15" s="1"/>
  <c r="N9" i="8"/>
  <c r="N7" i="13"/>
  <c r="I4" i="13" s="1"/>
  <c r="I3" i="14" s="1"/>
  <c r="N11" i="8"/>
  <c r="F31" i="8"/>
  <c r="F28" i="9"/>
  <c r="F18" i="10"/>
  <c r="F1" i="10" s="1"/>
  <c r="F3" i="10" s="1"/>
  <c r="F31" i="10"/>
  <c r="N7" i="11"/>
  <c r="I4" i="11" s="1"/>
  <c r="I3" i="12" s="1"/>
  <c r="F22" i="6"/>
  <c r="F21" i="7"/>
  <c r="F1" i="7" s="1"/>
  <c r="F3" i="7" s="1"/>
  <c r="N8" i="8"/>
  <c r="W10" i="8"/>
  <c r="W11" i="8" s="1"/>
  <c r="W12" i="8" s="1"/>
  <c r="W13" i="8" s="1"/>
  <c r="W14" i="8" s="1"/>
  <c r="W15" i="8" s="1"/>
  <c r="W16" i="8" s="1"/>
  <c r="W17" i="8" s="1"/>
  <c r="W18" i="8" s="1"/>
  <c r="W19" i="8" s="1"/>
  <c r="W20" i="8" s="1"/>
  <c r="W21" i="8" s="1"/>
  <c r="W22" i="8" s="1"/>
  <c r="W23" i="8" s="1"/>
  <c r="W24" i="8" s="1"/>
  <c r="W25" i="8" s="1"/>
  <c r="W26" i="8" s="1"/>
  <c r="W27" i="8" s="1"/>
  <c r="W28" i="8" s="1"/>
  <c r="W29" i="8" s="1"/>
  <c r="W30" i="8" s="1"/>
  <c r="W31" i="8" s="1"/>
  <c r="W32" i="8" s="1"/>
  <c r="W33" i="8" s="1"/>
  <c r="W34" i="8" s="1"/>
  <c r="W35" i="8" s="1"/>
  <c r="W36" i="8" s="1"/>
  <c r="W37" i="8" s="1"/>
  <c r="F25" i="8"/>
  <c r="I1" i="10"/>
  <c r="B15" i="3" s="1"/>
  <c r="A7" i="10"/>
  <c r="F21" i="10"/>
  <c r="F10" i="8"/>
  <c r="F21" i="8"/>
  <c r="F19" i="9"/>
  <c r="F36" i="10"/>
  <c r="F17" i="11"/>
  <c r="F25" i="11"/>
  <c r="F33" i="13"/>
  <c r="F22" i="13"/>
  <c r="F23" i="10"/>
  <c r="U7" i="12"/>
  <c r="V7" i="12" s="1"/>
  <c r="A8" i="12"/>
  <c r="F26" i="13"/>
  <c r="U7" i="13"/>
  <c r="V7" i="13" s="1"/>
  <c r="A8" i="13"/>
  <c r="N8" i="13" s="1"/>
  <c r="F17" i="13"/>
  <c r="F2" i="12"/>
  <c r="F2" i="14"/>
  <c r="F13" i="11"/>
  <c r="F21" i="11"/>
  <c r="F24" i="11"/>
  <c r="F29" i="13"/>
  <c r="F16" i="11"/>
  <c r="W7" i="12"/>
  <c r="F20" i="12"/>
  <c r="F10" i="13"/>
  <c r="F21" i="13"/>
  <c r="F31" i="14"/>
  <c r="F37" i="10"/>
  <c r="U7" i="14"/>
  <c r="V7" i="14" s="1"/>
  <c r="A8" i="14"/>
  <c r="I1" i="9"/>
  <c r="B14" i="3" s="1"/>
  <c r="F8" i="9"/>
  <c r="F14" i="9"/>
  <c r="F16" i="9"/>
  <c r="W8" i="10"/>
  <c r="W9" i="10" s="1"/>
  <c r="U8" i="11"/>
  <c r="F18" i="14"/>
  <c r="F30" i="14"/>
  <c r="F2" i="10"/>
  <c r="W10" i="10"/>
  <c r="W11" i="10" s="1"/>
  <c r="W12" i="10" s="1"/>
  <c r="W13" i="10" s="1"/>
  <c r="W14" i="10" s="1"/>
  <c r="W15" i="10" s="1"/>
  <c r="W16" i="10" s="1"/>
  <c r="W17" i="10" s="1"/>
  <c r="W18" i="10" s="1"/>
  <c r="W19" i="10" s="1"/>
  <c r="W20" i="10" s="1"/>
  <c r="W21" i="10" s="1"/>
  <c r="W22" i="10" s="1"/>
  <c r="W23" i="10" s="1"/>
  <c r="W24" i="10" s="1"/>
  <c r="W25" i="10" s="1"/>
  <c r="W26" i="10" s="1"/>
  <c r="W27" i="10" s="1"/>
  <c r="W28" i="10" s="1"/>
  <c r="W29" i="10" s="1"/>
  <c r="W30" i="10" s="1"/>
  <c r="W31" i="10" s="1"/>
  <c r="W32" i="10" s="1"/>
  <c r="W33" i="10" s="1"/>
  <c r="W34" i="10" s="1"/>
  <c r="W35" i="10" s="1"/>
  <c r="W36" i="10" s="1"/>
  <c r="W37" i="10" s="1"/>
  <c r="U7" i="11"/>
  <c r="V7" i="11" s="1"/>
  <c r="A10" i="11"/>
  <c r="N10" i="11" s="1"/>
  <c r="F29" i="11"/>
  <c r="F33" i="11"/>
  <c r="F30" i="13"/>
  <c r="F7" i="14"/>
  <c r="W7" i="14"/>
  <c r="W8" i="14" s="1"/>
  <c r="W9" i="14" s="1"/>
  <c r="W10" i="14" s="1"/>
  <c r="W11" i="14" s="1"/>
  <c r="W12" i="14" s="1"/>
  <c r="W13" i="14" s="1"/>
  <c r="W14" i="14" s="1"/>
  <c r="W15" i="14" s="1"/>
  <c r="W16" i="14" s="1"/>
  <c r="W17" i="14" s="1"/>
  <c r="W18" i="14" s="1"/>
  <c r="W19" i="14" s="1"/>
  <c r="W20" i="14" s="1"/>
  <c r="W21" i="14" s="1"/>
  <c r="W22" i="14" s="1"/>
  <c r="W23" i="14" s="1"/>
  <c r="W24" i="14" s="1"/>
  <c r="W25" i="14" s="1"/>
  <c r="W26" i="14" s="1"/>
  <c r="W27" i="14" s="1"/>
  <c r="W28" i="14" s="1"/>
  <c r="W29" i="14" s="1"/>
  <c r="W30" i="14" s="1"/>
  <c r="W31" i="14" s="1"/>
  <c r="W32" i="14" s="1"/>
  <c r="W33" i="14" s="1"/>
  <c r="W34" i="14" s="1"/>
  <c r="W35" i="14" s="1"/>
  <c r="W36" i="14" s="1"/>
  <c r="F14" i="14"/>
  <c r="F34" i="8"/>
  <c r="F7" i="9"/>
  <c r="W7" i="9"/>
  <c r="W8" i="9" s="1"/>
  <c r="W9" i="9" s="1"/>
  <c r="W10" i="9" s="1"/>
  <c r="W11" i="9" s="1"/>
  <c r="W12" i="9" s="1"/>
  <c r="W13" i="9" s="1"/>
  <c r="W14" i="9" s="1"/>
  <c r="W15" i="9" s="1"/>
  <c r="W16" i="9" s="1"/>
  <c r="W17" i="9" s="1"/>
  <c r="W18" i="9" s="1"/>
  <c r="W19" i="9" s="1"/>
  <c r="W20" i="9" s="1"/>
  <c r="W21" i="9" s="1"/>
  <c r="W22" i="9" s="1"/>
  <c r="W23" i="9" s="1"/>
  <c r="W24" i="9" s="1"/>
  <c r="W25" i="9" s="1"/>
  <c r="W26" i="9" s="1"/>
  <c r="W27" i="9" s="1"/>
  <c r="W28" i="9" s="1"/>
  <c r="W29" i="9" s="1"/>
  <c r="W30" i="9" s="1"/>
  <c r="W31" i="9" s="1"/>
  <c r="W32" i="9" s="1"/>
  <c r="W33" i="9" s="1"/>
  <c r="W34" i="9" s="1"/>
  <c r="W35" i="9" s="1"/>
  <c r="W36" i="9" s="1"/>
  <c r="F37" i="11"/>
  <c r="F25" i="13"/>
  <c r="F1" i="13" s="1"/>
  <c r="F3" i="13" s="1"/>
  <c r="F22" i="14"/>
  <c r="F27" i="10"/>
  <c r="F12" i="12"/>
  <c r="F29" i="12"/>
  <c r="F29" i="14"/>
  <c r="F30" i="8"/>
  <c r="F15" i="9"/>
  <c r="W8" i="11"/>
  <c r="W9" i="11" s="1"/>
  <c r="W10" i="11" s="1"/>
  <c r="W11" i="11" s="1"/>
  <c r="W12" i="11" s="1"/>
  <c r="W13" i="11" s="1"/>
  <c r="W14" i="11" s="1"/>
  <c r="W15" i="11" s="1"/>
  <c r="W16" i="11" s="1"/>
  <c r="W17" i="11" s="1"/>
  <c r="W18" i="11" s="1"/>
  <c r="W19" i="11" s="1"/>
  <c r="W20" i="11" s="1"/>
  <c r="W21" i="11" s="1"/>
  <c r="W22" i="11" s="1"/>
  <c r="W23" i="11" s="1"/>
  <c r="W24" i="11" s="1"/>
  <c r="W25" i="11" s="1"/>
  <c r="W26" i="11" s="1"/>
  <c r="W27" i="11" s="1"/>
  <c r="W28" i="11" s="1"/>
  <c r="W29" i="11" s="1"/>
  <c r="W30" i="11" s="1"/>
  <c r="W31" i="11" s="1"/>
  <c r="W32" i="11" s="1"/>
  <c r="W33" i="11" s="1"/>
  <c r="W34" i="11" s="1"/>
  <c r="W35" i="11" s="1"/>
  <c r="W36" i="11" s="1"/>
  <c r="W37" i="11" s="1"/>
  <c r="F27" i="14"/>
  <c r="F35" i="14"/>
  <c r="W9" i="13"/>
  <c r="W10" i="13" s="1"/>
  <c r="W11" i="13" s="1"/>
  <c r="W12" i="13" s="1"/>
  <c r="W13" i="13" s="1"/>
  <c r="W14" i="13" s="1"/>
  <c r="W15" i="13" s="1"/>
  <c r="W16" i="13" s="1"/>
  <c r="W17" i="13" s="1"/>
  <c r="W18" i="13" s="1"/>
  <c r="W19" i="13" s="1"/>
  <c r="W20" i="13" s="1"/>
  <c r="W21" i="13" s="1"/>
  <c r="W22" i="13" s="1"/>
  <c r="W23" i="13" s="1"/>
  <c r="W24" i="13" s="1"/>
  <c r="W25" i="13" s="1"/>
  <c r="W26" i="13" s="1"/>
  <c r="W27" i="13" s="1"/>
  <c r="W28" i="13" s="1"/>
  <c r="W29" i="13" s="1"/>
  <c r="W30" i="13" s="1"/>
  <c r="W31" i="13" s="1"/>
  <c r="W32" i="13" s="1"/>
  <c r="W33" i="13" s="1"/>
  <c r="W34" i="13" s="1"/>
  <c r="W35" i="13" s="1"/>
  <c r="W36" i="13" s="1"/>
  <c r="W37" i="13" s="1"/>
  <c r="F34" i="13"/>
  <c r="F10" i="14"/>
  <c r="F1" i="12"/>
  <c r="F3" i="12" s="1"/>
  <c r="A12" i="15"/>
  <c r="F31" i="15"/>
  <c r="F1" i="11"/>
  <c r="F3" i="11" s="1"/>
  <c r="W8" i="12"/>
  <c r="W9" i="12" s="1"/>
  <c r="W10" i="12" s="1"/>
  <c r="W11" i="12" s="1"/>
  <c r="W12" i="12" s="1"/>
  <c r="W13" i="12" s="1"/>
  <c r="W14" i="12" s="1"/>
  <c r="W15" i="12" s="1"/>
  <c r="W16" i="12" s="1"/>
  <c r="W17" i="12" s="1"/>
  <c r="W18" i="12" s="1"/>
  <c r="W19" i="12" s="1"/>
  <c r="W20" i="12" s="1"/>
  <c r="W21" i="12" s="1"/>
  <c r="W22" i="12" s="1"/>
  <c r="W23" i="12" s="1"/>
  <c r="W24" i="12" s="1"/>
  <c r="W25" i="12" s="1"/>
  <c r="W26" i="12" s="1"/>
  <c r="W27" i="12" s="1"/>
  <c r="W28" i="12" s="1"/>
  <c r="W29" i="12" s="1"/>
  <c r="W30" i="12" s="1"/>
  <c r="W31" i="12" s="1"/>
  <c r="W32" i="12" s="1"/>
  <c r="W33" i="12" s="1"/>
  <c r="W34" i="12" s="1"/>
  <c r="W35" i="12" s="1"/>
  <c r="W36" i="12" s="1"/>
  <c r="F14" i="13"/>
  <c r="F18" i="13"/>
  <c r="F26" i="14"/>
  <c r="W8" i="15"/>
  <c r="W9" i="15" s="1"/>
  <c r="W10" i="15" s="1"/>
  <c r="W11" i="15" s="1"/>
  <c r="W12" i="15" s="1"/>
  <c r="W13" i="15" s="1"/>
  <c r="W14" i="15" s="1"/>
  <c r="W15" i="15" s="1"/>
  <c r="W16" i="15" s="1"/>
  <c r="W17" i="15" s="1"/>
  <c r="W18" i="15" s="1"/>
  <c r="W19" i="15" s="1"/>
  <c r="W20" i="15" s="1"/>
  <c r="W21" i="15" s="1"/>
  <c r="W22" i="15" s="1"/>
  <c r="W23" i="15" s="1"/>
  <c r="W24" i="15" s="1"/>
  <c r="W25" i="15" s="1"/>
  <c r="W26" i="15" s="1"/>
  <c r="W27" i="15" s="1"/>
  <c r="W28" i="15" s="1"/>
  <c r="W29" i="15" s="1"/>
  <c r="W30" i="15" s="1"/>
  <c r="W31" i="15" s="1"/>
  <c r="W32" i="15" s="1"/>
  <c r="W33" i="15" s="1"/>
  <c r="W34" i="15" s="1"/>
  <c r="W35" i="15" s="1"/>
  <c r="W36" i="15" s="1"/>
  <c r="W37" i="15" s="1"/>
  <c r="U10" i="15"/>
  <c r="F2" i="15"/>
  <c r="F34" i="14"/>
  <c r="U8" i="15"/>
  <c r="V8" i="15" s="1"/>
  <c r="V9" i="15" s="1"/>
  <c r="F30" i="15"/>
  <c r="F33" i="15"/>
  <c r="F37" i="15"/>
  <c r="F8" i="15"/>
  <c r="F1" i="15" s="1"/>
  <c r="F3" i="15" s="1"/>
  <c r="F12" i="15"/>
  <c r="F16" i="15"/>
  <c r="F20" i="15"/>
  <c r="F24" i="15"/>
  <c r="F28" i="15"/>
  <c r="D12" i="3" l="1"/>
  <c r="E12" i="3" s="1"/>
  <c r="I2" i="7"/>
  <c r="N8" i="6"/>
  <c r="W9" i="6"/>
  <c r="I2" i="13"/>
  <c r="D18" i="3"/>
  <c r="E18" i="3" s="1"/>
  <c r="I2" i="15"/>
  <c r="D20" i="3"/>
  <c r="E20" i="3" s="1"/>
  <c r="I2" i="10"/>
  <c r="D15" i="3"/>
  <c r="E15" i="3" s="1"/>
  <c r="D10" i="3"/>
  <c r="I2" i="5"/>
  <c r="W9" i="4"/>
  <c r="N8" i="4"/>
  <c r="N7" i="6"/>
  <c r="U8" i="14"/>
  <c r="V8" i="14" s="1"/>
  <c r="A9" i="14"/>
  <c r="V10" i="8"/>
  <c r="V10" i="15"/>
  <c r="V11" i="15" s="1"/>
  <c r="A12" i="8"/>
  <c r="U11" i="8"/>
  <c r="V11" i="8" s="1"/>
  <c r="A13" i="4"/>
  <c r="U10" i="11"/>
  <c r="V10" i="11" s="1"/>
  <c r="A11" i="11"/>
  <c r="A13" i="15"/>
  <c r="U12" i="15"/>
  <c r="F1" i="14"/>
  <c r="F3" i="14" s="1"/>
  <c r="V8" i="11"/>
  <c r="V9" i="11" s="1"/>
  <c r="A12" i="6"/>
  <c r="U11" i="6"/>
  <c r="V11" i="6" s="1"/>
  <c r="U7" i="10"/>
  <c r="V7" i="10" s="1"/>
  <c r="A8" i="10"/>
  <c r="N7" i="10"/>
  <c r="I4" i="10" s="1"/>
  <c r="I3" i="11" s="1"/>
  <c r="I2" i="11"/>
  <c r="D16" i="3"/>
  <c r="E16" i="3" s="1"/>
  <c r="U7" i="7"/>
  <c r="V7" i="7" s="1"/>
  <c r="A8" i="7"/>
  <c r="F1" i="4"/>
  <c r="F3" i="4" s="1"/>
  <c r="F1" i="8"/>
  <c r="F3" i="8" s="1"/>
  <c r="N7" i="7"/>
  <c r="I4" i="7" s="1"/>
  <c r="I3" i="8" s="1"/>
  <c r="A9" i="12"/>
  <c r="U8" i="12"/>
  <c r="V8" i="12" s="1"/>
  <c r="U8" i="9"/>
  <c r="V8" i="9" s="1"/>
  <c r="A9" i="9"/>
  <c r="N7" i="5"/>
  <c r="I2" i="12"/>
  <c r="D17" i="3"/>
  <c r="E17" i="3" s="1"/>
  <c r="A9" i="13"/>
  <c r="U8" i="13"/>
  <c r="V8" i="13" s="1"/>
  <c r="N8" i="14"/>
  <c r="N8" i="12"/>
  <c r="N12" i="15"/>
  <c r="N7" i="4"/>
  <c r="F1" i="6"/>
  <c r="F3" i="6" s="1"/>
  <c r="F1" i="9"/>
  <c r="F3" i="9" s="1"/>
  <c r="A9" i="5"/>
  <c r="U8" i="5"/>
  <c r="V8" i="5" s="1"/>
  <c r="N8" i="5"/>
  <c r="A14" i="4" l="1"/>
  <c r="U13" i="4"/>
  <c r="V13" i="4" s="1"/>
  <c r="U9" i="5"/>
  <c r="V9" i="5" s="1"/>
  <c r="N9" i="5" s="1"/>
  <c r="A10" i="5"/>
  <c r="A10" i="9"/>
  <c r="U9" i="9"/>
  <c r="V9" i="9" s="1"/>
  <c r="N9" i="9"/>
  <c r="A9" i="10"/>
  <c r="U8" i="10"/>
  <c r="V8" i="10" s="1"/>
  <c r="N8" i="10"/>
  <c r="I2" i="6"/>
  <c r="D11" i="3" s="1"/>
  <c r="U12" i="8"/>
  <c r="V12" i="8" s="1"/>
  <c r="N12" i="8"/>
  <c r="A13" i="8"/>
  <c r="A10" i="12"/>
  <c r="U9" i="12"/>
  <c r="V9" i="12" s="1"/>
  <c r="N9" i="12"/>
  <c r="I2" i="9"/>
  <c r="D14" i="3"/>
  <c r="E14" i="3" s="1"/>
  <c r="U12" i="6"/>
  <c r="V12" i="6" s="1"/>
  <c r="A13" i="6"/>
  <c r="I2" i="8"/>
  <c r="D13" i="3"/>
  <c r="E13" i="3" s="1"/>
  <c r="A10" i="14"/>
  <c r="U9" i="14"/>
  <c r="V9" i="14" s="1"/>
  <c r="N9" i="14"/>
  <c r="I2" i="14"/>
  <c r="D19" i="3"/>
  <c r="E19" i="3" s="1"/>
  <c r="N9" i="6"/>
  <c r="W10" i="6"/>
  <c r="V12" i="15"/>
  <c r="U8" i="7"/>
  <c r="V8" i="7" s="1"/>
  <c r="V9" i="7" s="1"/>
  <c r="A9" i="7"/>
  <c r="N8" i="7"/>
  <c r="A10" i="13"/>
  <c r="U9" i="13"/>
  <c r="V9" i="13" s="1"/>
  <c r="N9" i="13"/>
  <c r="U13" i="15"/>
  <c r="V13" i="15" s="1"/>
  <c r="A14" i="15"/>
  <c r="N13" i="15"/>
  <c r="D9" i="3"/>
  <c r="I2" i="4"/>
  <c r="A12" i="11"/>
  <c r="U11" i="11"/>
  <c r="V11" i="11" s="1"/>
  <c r="N11" i="11"/>
  <c r="W10" i="4"/>
  <c r="N9" i="4"/>
  <c r="A10" i="10" l="1"/>
  <c r="U9" i="10"/>
  <c r="V9" i="10" s="1"/>
  <c r="N9" i="10"/>
  <c r="A15" i="15"/>
  <c r="U14" i="15"/>
  <c r="V14" i="15" s="1"/>
  <c r="N14" i="15"/>
  <c r="A10" i="7"/>
  <c r="N9" i="7"/>
  <c r="U13" i="8"/>
  <c r="V13" i="8" s="1"/>
  <c r="A14" i="8"/>
  <c r="N13" i="8"/>
  <c r="A11" i="12"/>
  <c r="U10" i="12"/>
  <c r="V10" i="12" s="1"/>
  <c r="N10" i="12"/>
  <c r="U10" i="9"/>
  <c r="V10" i="9" s="1"/>
  <c r="A11" i="9"/>
  <c r="N10" i="9"/>
  <c r="U10" i="5"/>
  <c r="V10" i="5" s="1"/>
  <c r="N10" i="5" s="1"/>
  <c r="A11" i="5"/>
  <c r="U10" i="13"/>
  <c r="V10" i="13" s="1"/>
  <c r="A11" i="13"/>
  <c r="N10" i="13"/>
  <c r="U10" i="14"/>
  <c r="V10" i="14" s="1"/>
  <c r="A11" i="14"/>
  <c r="N10" i="14"/>
  <c r="W11" i="4"/>
  <c r="N10" i="4"/>
  <c r="U12" i="11"/>
  <c r="V12" i="11" s="1"/>
  <c r="A13" i="11"/>
  <c r="N12" i="11"/>
  <c r="U13" i="6"/>
  <c r="V13" i="6" s="1"/>
  <c r="A14" i="6"/>
  <c r="N10" i="6"/>
  <c r="W11" i="6"/>
  <c r="U14" i="4"/>
  <c r="V14" i="4" s="1"/>
  <c r="A15" i="4"/>
  <c r="U11" i="13" l="1"/>
  <c r="V11" i="13" s="1"/>
  <c r="A12" i="13"/>
  <c r="N11" i="13"/>
  <c r="A15" i="8"/>
  <c r="U14" i="8"/>
  <c r="V14" i="8" s="1"/>
  <c r="N14" i="8"/>
  <c r="A12" i="5"/>
  <c r="U11" i="5"/>
  <c r="V11" i="5" s="1"/>
  <c r="N11" i="5" s="1"/>
  <c r="U13" i="11"/>
  <c r="V13" i="11" s="1"/>
  <c r="A14" i="11"/>
  <c r="N13" i="11"/>
  <c r="U10" i="7"/>
  <c r="V10" i="7" s="1"/>
  <c r="A11" i="7"/>
  <c r="N10" i="7"/>
  <c r="U14" i="6"/>
  <c r="V14" i="6" s="1"/>
  <c r="A15" i="6"/>
  <c r="A16" i="4"/>
  <c r="U15" i="4"/>
  <c r="V15" i="4" s="1"/>
  <c r="U11" i="14"/>
  <c r="V11" i="14" s="1"/>
  <c r="A12" i="14"/>
  <c r="N11" i="14"/>
  <c r="W12" i="4"/>
  <c r="N11" i="4"/>
  <c r="W12" i="6"/>
  <c r="N11" i="6"/>
  <c r="U11" i="12"/>
  <c r="V11" i="12" s="1"/>
  <c r="A12" i="12"/>
  <c r="N11" i="12"/>
  <c r="A11" i="10"/>
  <c r="U10" i="10"/>
  <c r="V10" i="10" s="1"/>
  <c r="N10" i="10"/>
  <c r="A12" i="9"/>
  <c r="U11" i="9"/>
  <c r="V11" i="9" s="1"/>
  <c r="N11" i="9"/>
  <c r="U15" i="15"/>
  <c r="V15" i="15" s="1"/>
  <c r="A16" i="15"/>
  <c r="N15" i="15"/>
  <c r="U11" i="10" l="1"/>
  <c r="V11" i="10" s="1"/>
  <c r="A12" i="10"/>
  <c r="N11" i="10"/>
  <c r="A17" i="4"/>
  <c r="U16" i="4"/>
  <c r="V16" i="4" s="1"/>
  <c r="A13" i="5"/>
  <c r="U12" i="5"/>
  <c r="V12" i="5" s="1"/>
  <c r="N12" i="5"/>
  <c r="A13" i="12"/>
  <c r="U12" i="12"/>
  <c r="V12" i="12" s="1"/>
  <c r="N12" i="12"/>
  <c r="U15" i="6"/>
  <c r="V15" i="6" s="1"/>
  <c r="A16" i="6"/>
  <c r="A17" i="15"/>
  <c r="U16" i="15"/>
  <c r="V16" i="15" s="1"/>
  <c r="N16" i="15"/>
  <c r="A16" i="8"/>
  <c r="U15" i="8"/>
  <c r="V15" i="8" s="1"/>
  <c r="N15" i="8"/>
  <c r="W13" i="6"/>
  <c r="N12" i="6"/>
  <c r="A12" i="7"/>
  <c r="U11" i="7"/>
  <c r="V11" i="7" s="1"/>
  <c r="V12" i="7" s="1"/>
  <c r="N11" i="7"/>
  <c r="A13" i="13"/>
  <c r="U12" i="13"/>
  <c r="V12" i="13" s="1"/>
  <c r="N12" i="13"/>
  <c r="W13" i="4"/>
  <c r="N12" i="4"/>
  <c r="U12" i="9"/>
  <c r="V12" i="9" s="1"/>
  <c r="A13" i="9"/>
  <c r="N12" i="9"/>
  <c r="U12" i="14"/>
  <c r="V12" i="14" s="1"/>
  <c r="A13" i="14"/>
  <c r="N12" i="14"/>
  <c r="U14" i="11"/>
  <c r="V14" i="11" s="1"/>
  <c r="A15" i="11"/>
  <c r="N14" i="11"/>
  <c r="U13" i="12" l="1"/>
  <c r="V13" i="12" s="1"/>
  <c r="A14" i="12"/>
  <c r="N13" i="12"/>
  <c r="A14" i="5"/>
  <c r="U13" i="5"/>
  <c r="V13" i="5" s="1"/>
  <c r="N13" i="5" s="1"/>
  <c r="U17" i="15"/>
  <c r="V17" i="15" s="1"/>
  <c r="A18" i="15"/>
  <c r="N17" i="15"/>
  <c r="A16" i="11"/>
  <c r="U15" i="11"/>
  <c r="V15" i="11" s="1"/>
  <c r="N15" i="11"/>
  <c r="A14" i="13"/>
  <c r="U13" i="13"/>
  <c r="V13" i="13" s="1"/>
  <c r="N13" i="13"/>
  <c r="U16" i="6"/>
  <c r="V16" i="6" s="1"/>
  <c r="A17" i="6"/>
  <c r="A13" i="10"/>
  <c r="U12" i="10"/>
  <c r="V12" i="10" s="1"/>
  <c r="N12" i="10"/>
  <c r="W14" i="6"/>
  <c r="N13" i="6"/>
  <c r="A14" i="9"/>
  <c r="U13" i="9"/>
  <c r="V13" i="9" s="1"/>
  <c r="N13" i="9"/>
  <c r="A17" i="8"/>
  <c r="U16" i="8"/>
  <c r="V16" i="8" s="1"/>
  <c r="N16" i="8"/>
  <c r="U17" i="4"/>
  <c r="V17" i="4" s="1"/>
  <c r="A18" i="4"/>
  <c r="W14" i="4"/>
  <c r="N13" i="4"/>
  <c r="A14" i="14"/>
  <c r="U13" i="14"/>
  <c r="V13" i="14" s="1"/>
  <c r="N13" i="14"/>
  <c r="A13" i="7"/>
  <c r="N12" i="7"/>
  <c r="A14" i="10" l="1"/>
  <c r="U13" i="10"/>
  <c r="V13" i="10" s="1"/>
  <c r="N13" i="10"/>
  <c r="U14" i="5"/>
  <c r="V14" i="5" s="1"/>
  <c r="A15" i="5"/>
  <c r="N14" i="5"/>
  <c r="A15" i="9"/>
  <c r="U14" i="9"/>
  <c r="V14" i="9" s="1"/>
  <c r="N14" i="9"/>
  <c r="W15" i="6"/>
  <c r="N14" i="6"/>
  <c r="W15" i="4"/>
  <c r="N14" i="4"/>
  <c r="U13" i="7"/>
  <c r="V13" i="7" s="1"/>
  <c r="A14" i="7"/>
  <c r="N13" i="7"/>
  <c r="U14" i="14"/>
  <c r="V14" i="14" s="1"/>
  <c r="A15" i="14"/>
  <c r="N14" i="14"/>
  <c r="A17" i="11"/>
  <c r="U16" i="11"/>
  <c r="V16" i="11" s="1"/>
  <c r="N16" i="11"/>
  <c r="A19" i="15"/>
  <c r="U18" i="15"/>
  <c r="V18" i="15" s="1"/>
  <c r="N18" i="15"/>
  <c r="U18" i="4"/>
  <c r="V18" i="4" s="1"/>
  <c r="A19" i="4"/>
  <c r="A18" i="6"/>
  <c r="U17" i="6"/>
  <c r="V17" i="6" s="1"/>
  <c r="U17" i="8"/>
  <c r="V17" i="8" s="1"/>
  <c r="A18" i="8"/>
  <c r="N17" i="8"/>
  <c r="A15" i="12"/>
  <c r="U14" i="12"/>
  <c r="V14" i="12" s="1"/>
  <c r="N14" i="12"/>
  <c r="A15" i="13"/>
  <c r="U14" i="13"/>
  <c r="V14" i="13" s="1"/>
  <c r="N14" i="13"/>
  <c r="U15" i="12" l="1"/>
  <c r="V15" i="12" s="1"/>
  <c r="A16" i="12"/>
  <c r="N15" i="12"/>
  <c r="U19" i="15"/>
  <c r="V19" i="15" s="1"/>
  <c r="A20" i="15"/>
  <c r="N19" i="15"/>
  <c r="W16" i="4"/>
  <c r="N15" i="4"/>
  <c r="W16" i="6"/>
  <c r="N15" i="6"/>
  <c r="A19" i="6"/>
  <c r="U18" i="6"/>
  <c r="V18" i="6" s="1"/>
  <c r="A19" i="8"/>
  <c r="U18" i="8"/>
  <c r="V18" i="8" s="1"/>
  <c r="N18" i="8"/>
  <c r="U15" i="14"/>
  <c r="V15" i="14" s="1"/>
  <c r="A16" i="14"/>
  <c r="N15" i="14"/>
  <c r="U19" i="4"/>
  <c r="V19" i="4" s="1"/>
  <c r="A20" i="4"/>
  <c r="A15" i="7"/>
  <c r="U14" i="7"/>
  <c r="V14" i="7" s="1"/>
  <c r="N14" i="7"/>
  <c r="U17" i="11"/>
  <c r="V17" i="11" s="1"/>
  <c r="A18" i="11"/>
  <c r="N17" i="11"/>
  <c r="U15" i="9"/>
  <c r="V15" i="9" s="1"/>
  <c r="A16" i="9"/>
  <c r="N15" i="9"/>
  <c r="A16" i="5"/>
  <c r="U15" i="5"/>
  <c r="V15" i="5" s="1"/>
  <c r="N15" i="5"/>
  <c r="U15" i="13"/>
  <c r="V15" i="13" s="1"/>
  <c r="A16" i="13"/>
  <c r="N15" i="13"/>
  <c r="A15" i="10"/>
  <c r="U14" i="10"/>
  <c r="V14" i="10" s="1"/>
  <c r="N14" i="10"/>
  <c r="A17" i="13" l="1"/>
  <c r="U16" i="13"/>
  <c r="V16" i="13" s="1"/>
  <c r="N16" i="13"/>
  <c r="W17" i="6"/>
  <c r="N16" i="6"/>
  <c r="A16" i="7"/>
  <c r="U15" i="7"/>
  <c r="V15" i="7" s="1"/>
  <c r="N15" i="7"/>
  <c r="U19" i="6"/>
  <c r="V19" i="6" s="1"/>
  <c r="A20" i="6"/>
  <c r="U16" i="14"/>
  <c r="V16" i="14" s="1"/>
  <c r="A17" i="14"/>
  <c r="N16" i="14"/>
  <c r="A21" i="15"/>
  <c r="U20" i="15"/>
  <c r="V20" i="15" s="1"/>
  <c r="N20" i="15"/>
  <c r="U18" i="11"/>
  <c r="V18" i="11" s="1"/>
  <c r="A19" i="11"/>
  <c r="N18" i="11"/>
  <c r="W17" i="4"/>
  <c r="N16" i="4"/>
  <c r="U15" i="10"/>
  <c r="V15" i="10" s="1"/>
  <c r="A16" i="10"/>
  <c r="N15" i="10"/>
  <c r="U19" i="8"/>
  <c r="V19" i="8" s="1"/>
  <c r="V20" i="8" s="1"/>
  <c r="V21" i="8" s="1"/>
  <c r="A20" i="8"/>
  <c r="N19" i="8"/>
  <c r="A17" i="12"/>
  <c r="U16" i="12"/>
  <c r="V16" i="12" s="1"/>
  <c r="N16" i="12"/>
  <c r="A21" i="4"/>
  <c r="U20" i="4"/>
  <c r="V20" i="4" s="1"/>
  <c r="A17" i="5"/>
  <c r="N16" i="5"/>
  <c r="U16" i="5"/>
  <c r="V16" i="5" s="1"/>
  <c r="U16" i="9"/>
  <c r="V16" i="9" s="1"/>
  <c r="A17" i="9"/>
  <c r="N16" i="9"/>
  <c r="A21" i="6" l="1"/>
  <c r="U20" i="6"/>
  <c r="V20" i="6" s="1"/>
  <c r="A20" i="11"/>
  <c r="U19" i="11"/>
  <c r="V19" i="11" s="1"/>
  <c r="N19" i="11"/>
  <c r="U16" i="7"/>
  <c r="V16" i="7" s="1"/>
  <c r="A17" i="7"/>
  <c r="N16" i="7"/>
  <c r="W18" i="6"/>
  <c r="N17" i="6"/>
  <c r="A17" i="10"/>
  <c r="U16" i="10"/>
  <c r="V16" i="10" s="1"/>
  <c r="N16" i="10"/>
  <c r="W18" i="4"/>
  <c r="N17" i="4"/>
  <c r="U21" i="4"/>
  <c r="V21" i="4" s="1"/>
  <c r="A22" i="4"/>
  <c r="A18" i="12"/>
  <c r="U17" i="12"/>
  <c r="V17" i="12" s="1"/>
  <c r="N17" i="12"/>
  <c r="A18" i="9"/>
  <c r="U17" i="9"/>
  <c r="V17" i="9" s="1"/>
  <c r="N17" i="9"/>
  <c r="A21" i="8"/>
  <c r="N20" i="8"/>
  <c r="U21" i="15"/>
  <c r="V21" i="15" s="1"/>
  <c r="A22" i="15"/>
  <c r="N21" i="15"/>
  <c r="A18" i="5"/>
  <c r="U17" i="5"/>
  <c r="V17" i="5" s="1"/>
  <c r="N17" i="5" s="1"/>
  <c r="A18" i="14"/>
  <c r="U17" i="14"/>
  <c r="V17" i="14" s="1"/>
  <c r="N17" i="14"/>
  <c r="A18" i="13"/>
  <c r="U17" i="13"/>
  <c r="V17" i="13" s="1"/>
  <c r="N17" i="13"/>
  <c r="U17" i="10" l="1"/>
  <c r="V17" i="10" s="1"/>
  <c r="A18" i="10"/>
  <c r="N17" i="10"/>
  <c r="A19" i="14"/>
  <c r="U18" i="14"/>
  <c r="V18" i="14" s="1"/>
  <c r="N18" i="14"/>
  <c r="A19" i="12"/>
  <c r="U18" i="12"/>
  <c r="V18" i="12" s="1"/>
  <c r="N18" i="12"/>
  <c r="A21" i="11"/>
  <c r="U20" i="11"/>
  <c r="V20" i="11" s="1"/>
  <c r="N20" i="11"/>
  <c r="A23" i="15"/>
  <c r="U22" i="15"/>
  <c r="V22" i="15" s="1"/>
  <c r="N22" i="15"/>
  <c r="W19" i="4"/>
  <c r="N18" i="4"/>
  <c r="A19" i="9"/>
  <c r="U18" i="9"/>
  <c r="V18" i="9" s="1"/>
  <c r="N18" i="9"/>
  <c r="W19" i="6"/>
  <c r="N18" i="6"/>
  <c r="U18" i="5"/>
  <c r="V18" i="5" s="1"/>
  <c r="A19" i="5"/>
  <c r="N18" i="5"/>
  <c r="N17" i="7"/>
  <c r="A18" i="7"/>
  <c r="U17" i="7"/>
  <c r="V17" i="7" s="1"/>
  <c r="A23" i="4"/>
  <c r="U22" i="4"/>
  <c r="V22" i="4" s="1"/>
  <c r="A22" i="8"/>
  <c r="N21" i="8"/>
  <c r="A19" i="13"/>
  <c r="U18" i="13"/>
  <c r="V18" i="13" s="1"/>
  <c r="N18" i="13"/>
  <c r="A22" i="6"/>
  <c r="U21" i="6"/>
  <c r="V21" i="6" s="1"/>
  <c r="A23" i="6" l="1"/>
  <c r="U22" i="6"/>
  <c r="V22" i="6" s="1"/>
  <c r="A20" i="5"/>
  <c r="U19" i="5"/>
  <c r="V19" i="5" s="1"/>
  <c r="N19" i="5" s="1"/>
  <c r="U19" i="13"/>
  <c r="V19" i="13" s="1"/>
  <c r="A20" i="13"/>
  <c r="N19" i="13"/>
  <c r="W20" i="6"/>
  <c r="N19" i="6"/>
  <c r="W20" i="4"/>
  <c r="N19" i="4"/>
  <c r="U19" i="14"/>
  <c r="V19" i="14" s="1"/>
  <c r="A20" i="14"/>
  <c r="N19" i="14"/>
  <c r="U18" i="7"/>
  <c r="V18" i="7" s="1"/>
  <c r="N18" i="7"/>
  <c r="A19" i="7"/>
  <c r="U21" i="11"/>
  <c r="V21" i="11" s="1"/>
  <c r="A22" i="11"/>
  <c r="N21" i="11"/>
  <c r="A23" i="8"/>
  <c r="U22" i="8"/>
  <c r="V22" i="8" s="1"/>
  <c r="N22" i="8"/>
  <c r="U19" i="12"/>
  <c r="V19" i="12" s="1"/>
  <c r="A20" i="12"/>
  <c r="N19" i="12"/>
  <c r="A20" i="9"/>
  <c r="U19" i="9"/>
  <c r="V19" i="9" s="1"/>
  <c r="N19" i="9"/>
  <c r="U23" i="4"/>
  <c r="V23" i="4" s="1"/>
  <c r="A24" i="4"/>
  <c r="A19" i="10"/>
  <c r="U18" i="10"/>
  <c r="V18" i="10" s="1"/>
  <c r="N18" i="10"/>
  <c r="U23" i="15"/>
  <c r="V23" i="15" s="1"/>
  <c r="A24" i="15"/>
  <c r="N23" i="15"/>
  <c r="U19" i="10" l="1"/>
  <c r="V19" i="10" s="1"/>
  <c r="A20" i="10"/>
  <c r="N19" i="10"/>
  <c r="U22" i="11"/>
  <c r="V22" i="11" s="1"/>
  <c r="A23" i="11"/>
  <c r="N22" i="11"/>
  <c r="W21" i="4"/>
  <c r="N20" i="4"/>
  <c r="W21" i="6"/>
  <c r="N20" i="6"/>
  <c r="A21" i="13"/>
  <c r="U20" i="13"/>
  <c r="V20" i="13" s="1"/>
  <c r="N20" i="13"/>
  <c r="U19" i="7"/>
  <c r="V19" i="7" s="1"/>
  <c r="A20" i="7"/>
  <c r="N19" i="7"/>
  <c r="A25" i="15"/>
  <c r="U24" i="15"/>
  <c r="V24" i="15" s="1"/>
  <c r="N24" i="15"/>
  <c r="A21" i="12"/>
  <c r="U20" i="12"/>
  <c r="V20" i="12" s="1"/>
  <c r="N20" i="12"/>
  <c r="U20" i="14"/>
  <c r="V20" i="14" s="1"/>
  <c r="A21" i="14"/>
  <c r="N20" i="14"/>
  <c r="A24" i="8"/>
  <c r="U23" i="8"/>
  <c r="V23" i="8" s="1"/>
  <c r="N23" i="8"/>
  <c r="A25" i="4"/>
  <c r="U24" i="4"/>
  <c r="V24" i="4" s="1"/>
  <c r="U20" i="9"/>
  <c r="V20" i="9" s="1"/>
  <c r="A21" i="9"/>
  <c r="N20" i="9"/>
  <c r="A21" i="5"/>
  <c r="U20" i="5"/>
  <c r="V20" i="5" s="1"/>
  <c r="N20" i="5" s="1"/>
  <c r="A24" i="6"/>
  <c r="U23" i="6"/>
  <c r="V23" i="6" s="1"/>
  <c r="A22" i="14" l="1"/>
  <c r="U21" i="14"/>
  <c r="V21" i="14" s="1"/>
  <c r="N21" i="14"/>
  <c r="A22" i="5"/>
  <c r="U21" i="5"/>
  <c r="V21" i="5" s="1"/>
  <c r="N21" i="5" s="1"/>
  <c r="U21" i="12"/>
  <c r="V21" i="12" s="1"/>
  <c r="A22" i="12"/>
  <c r="N21" i="12"/>
  <c r="W22" i="4"/>
  <c r="N21" i="4"/>
  <c r="A22" i="13"/>
  <c r="U21" i="13"/>
  <c r="V21" i="13" s="1"/>
  <c r="N21" i="13"/>
  <c r="A22" i="9"/>
  <c r="U21" i="9"/>
  <c r="V21" i="9" s="1"/>
  <c r="N21" i="9"/>
  <c r="W22" i="6"/>
  <c r="N21" i="6"/>
  <c r="A26" i="4"/>
  <c r="U25" i="4"/>
  <c r="V25" i="4" s="1"/>
  <c r="U25" i="15"/>
  <c r="V25" i="15" s="1"/>
  <c r="A26" i="15"/>
  <c r="N25" i="15"/>
  <c r="A24" i="11"/>
  <c r="U23" i="11"/>
  <c r="V23" i="11" s="1"/>
  <c r="N23" i="11"/>
  <c r="A21" i="7"/>
  <c r="U20" i="7"/>
  <c r="V20" i="7" s="1"/>
  <c r="N20" i="7"/>
  <c r="A25" i="6"/>
  <c r="U24" i="6"/>
  <c r="V24" i="6" s="1"/>
  <c r="U24" i="8"/>
  <c r="V24" i="8" s="1"/>
  <c r="A25" i="8"/>
  <c r="N24" i="8"/>
  <c r="A21" i="10"/>
  <c r="U20" i="10"/>
  <c r="V20" i="10" s="1"/>
  <c r="N20" i="10"/>
  <c r="U22" i="13" l="1"/>
  <c r="V22" i="13" s="1"/>
  <c r="A23" i="13"/>
  <c r="N22" i="13"/>
  <c r="A26" i="8"/>
  <c r="U25" i="8"/>
  <c r="V25" i="8" s="1"/>
  <c r="N25" i="8"/>
  <c r="A27" i="15"/>
  <c r="U26" i="15"/>
  <c r="V26" i="15" s="1"/>
  <c r="N26" i="15"/>
  <c r="A27" i="4"/>
  <c r="U26" i="4"/>
  <c r="V26" i="4" s="1"/>
  <c r="W23" i="6"/>
  <c r="N22" i="6"/>
  <c r="U21" i="7"/>
  <c r="V21" i="7" s="1"/>
  <c r="A22" i="7"/>
  <c r="N21" i="7"/>
  <c r="W23" i="4"/>
  <c r="N22" i="4"/>
  <c r="A26" i="6"/>
  <c r="U25" i="6"/>
  <c r="V25" i="6" s="1"/>
  <c r="U22" i="12"/>
  <c r="V22" i="12" s="1"/>
  <c r="A23" i="12"/>
  <c r="N22" i="12"/>
  <c r="U22" i="5"/>
  <c r="V22" i="5" s="1"/>
  <c r="N22" i="5"/>
  <c r="A23" i="5"/>
  <c r="A23" i="9"/>
  <c r="U22" i="9"/>
  <c r="V22" i="9" s="1"/>
  <c r="N22" i="9"/>
  <c r="A22" i="10"/>
  <c r="U21" i="10"/>
  <c r="V21" i="10" s="1"/>
  <c r="N21" i="10"/>
  <c r="A25" i="11"/>
  <c r="U24" i="11"/>
  <c r="V24" i="11" s="1"/>
  <c r="N24" i="11"/>
  <c r="A23" i="14"/>
  <c r="U22" i="14"/>
  <c r="V22" i="14" s="1"/>
  <c r="N22" i="14"/>
  <c r="U23" i="12" l="1"/>
  <c r="V23" i="12" s="1"/>
  <c r="A24" i="12"/>
  <c r="N23" i="12"/>
  <c r="U25" i="11"/>
  <c r="V25" i="11" s="1"/>
  <c r="A26" i="11"/>
  <c r="N25" i="11"/>
  <c r="U27" i="4"/>
  <c r="V27" i="4" s="1"/>
  <c r="A28" i="4"/>
  <c r="A27" i="6"/>
  <c r="U26" i="6"/>
  <c r="V26" i="6" s="1"/>
  <c r="A23" i="10"/>
  <c r="U22" i="10"/>
  <c r="V22" i="10" s="1"/>
  <c r="N22" i="10"/>
  <c r="A24" i="9"/>
  <c r="U23" i="9"/>
  <c r="V23" i="9" s="1"/>
  <c r="N23" i="9"/>
  <c r="A24" i="5"/>
  <c r="U23" i="5"/>
  <c r="V23" i="5" s="1"/>
  <c r="N23" i="5"/>
  <c r="U23" i="14"/>
  <c r="V23" i="14" s="1"/>
  <c r="A24" i="14"/>
  <c r="N23" i="14"/>
  <c r="U27" i="15"/>
  <c r="V27" i="15" s="1"/>
  <c r="A28" i="15"/>
  <c r="N27" i="15"/>
  <c r="W24" i="4"/>
  <c r="N23" i="4"/>
  <c r="U22" i="7"/>
  <c r="V22" i="7" s="1"/>
  <c r="A23" i="7"/>
  <c r="N22" i="7"/>
  <c r="A27" i="8"/>
  <c r="U26" i="8"/>
  <c r="V26" i="8" s="1"/>
  <c r="N26" i="8"/>
  <c r="U23" i="13"/>
  <c r="V23" i="13" s="1"/>
  <c r="A24" i="13"/>
  <c r="N23" i="13"/>
  <c r="W24" i="6"/>
  <c r="N23" i="6"/>
  <c r="U24" i="9" l="1"/>
  <c r="V24" i="9" s="1"/>
  <c r="V25" i="9" s="1"/>
  <c r="A25" i="9"/>
  <c r="N24" i="9"/>
  <c r="A28" i="8"/>
  <c r="U27" i="8"/>
  <c r="V27" i="8" s="1"/>
  <c r="N27" i="8"/>
  <c r="A29" i="4"/>
  <c r="U28" i="4"/>
  <c r="V28" i="4" s="1"/>
  <c r="A25" i="5"/>
  <c r="U24" i="5"/>
  <c r="V24" i="5" s="1"/>
  <c r="N24" i="5" s="1"/>
  <c r="W25" i="4"/>
  <c r="N24" i="4"/>
  <c r="W25" i="6"/>
  <c r="N24" i="6"/>
  <c r="U28" i="15"/>
  <c r="V28" i="15" s="1"/>
  <c r="A29" i="15"/>
  <c r="N28" i="15"/>
  <c r="A25" i="12"/>
  <c r="U24" i="12"/>
  <c r="V24" i="12" s="1"/>
  <c r="N24" i="12"/>
  <c r="U24" i="14"/>
  <c r="V24" i="14" s="1"/>
  <c r="A25" i="14"/>
  <c r="N24" i="14"/>
  <c r="U27" i="6"/>
  <c r="V27" i="6" s="1"/>
  <c r="A28" i="6"/>
  <c r="A24" i="7"/>
  <c r="U23" i="7"/>
  <c r="V23" i="7" s="1"/>
  <c r="N23" i="7"/>
  <c r="U26" i="11"/>
  <c r="V26" i="11" s="1"/>
  <c r="A27" i="11"/>
  <c r="N26" i="11"/>
  <c r="A25" i="13"/>
  <c r="U24" i="13"/>
  <c r="V24" i="13" s="1"/>
  <c r="N24" i="13"/>
  <c r="U23" i="10"/>
  <c r="V23" i="10" s="1"/>
  <c r="A24" i="10"/>
  <c r="N23" i="10"/>
  <c r="U25" i="5" l="1"/>
  <c r="V25" i="5" s="1"/>
  <c r="N25" i="5" s="1"/>
  <c r="A26" i="5"/>
  <c r="A30" i="15"/>
  <c r="U29" i="15"/>
  <c r="V29" i="15" s="1"/>
  <c r="V30" i="15" s="1"/>
  <c r="V31" i="15" s="1"/>
  <c r="N29" i="15"/>
  <c r="A25" i="7"/>
  <c r="U24" i="7"/>
  <c r="V24" i="7" s="1"/>
  <c r="N24" i="7"/>
  <c r="A30" i="4"/>
  <c r="U29" i="4"/>
  <c r="V29" i="4" s="1"/>
  <c r="U28" i="6"/>
  <c r="V28" i="6" s="1"/>
  <c r="A29" i="6"/>
  <c r="A26" i="14"/>
  <c r="U25" i="14"/>
  <c r="V25" i="14" s="1"/>
  <c r="N25" i="14"/>
  <c r="A26" i="13"/>
  <c r="U25" i="13"/>
  <c r="V25" i="13" s="1"/>
  <c r="N25" i="13"/>
  <c r="A28" i="11"/>
  <c r="U27" i="11"/>
  <c r="V27" i="11" s="1"/>
  <c r="N27" i="11"/>
  <c r="A26" i="12"/>
  <c r="U25" i="12"/>
  <c r="V25" i="12" s="1"/>
  <c r="N25" i="12"/>
  <c r="A25" i="10"/>
  <c r="U24" i="10"/>
  <c r="V24" i="10" s="1"/>
  <c r="N24" i="10"/>
  <c r="W26" i="6"/>
  <c r="N25" i="6"/>
  <c r="A26" i="9"/>
  <c r="N25" i="9"/>
  <c r="U28" i="8"/>
  <c r="V28" i="8" s="1"/>
  <c r="A29" i="8"/>
  <c r="N28" i="8"/>
  <c r="W26" i="4"/>
  <c r="N25" i="4"/>
  <c r="U28" i="11" l="1"/>
  <c r="V28" i="11" s="1"/>
  <c r="A29" i="11"/>
  <c r="N28" i="11"/>
  <c r="U30" i="4"/>
  <c r="V30" i="4" s="1"/>
  <c r="A31" i="4"/>
  <c r="U26" i="9"/>
  <c r="V26" i="9" s="1"/>
  <c r="A27" i="9"/>
  <c r="N26" i="9"/>
  <c r="W27" i="6"/>
  <c r="N26" i="6"/>
  <c r="U26" i="13"/>
  <c r="V26" i="13" s="1"/>
  <c r="A27" i="13"/>
  <c r="N26" i="13"/>
  <c r="A26" i="7"/>
  <c r="U25" i="7"/>
  <c r="V25" i="7" s="1"/>
  <c r="N25" i="7"/>
  <c r="U25" i="10"/>
  <c r="V25" i="10" s="1"/>
  <c r="A26" i="10"/>
  <c r="N25" i="10"/>
  <c r="U26" i="5"/>
  <c r="V26" i="5" s="1"/>
  <c r="A27" i="5"/>
  <c r="N26" i="5"/>
  <c r="A30" i="8"/>
  <c r="U29" i="8"/>
  <c r="V29" i="8" s="1"/>
  <c r="N29" i="8"/>
  <c r="A27" i="14"/>
  <c r="U26" i="14"/>
  <c r="V26" i="14" s="1"/>
  <c r="N26" i="14"/>
  <c r="A31" i="15"/>
  <c r="N30" i="15"/>
  <c r="W27" i="4"/>
  <c r="N26" i="4"/>
  <c r="U29" i="6"/>
  <c r="V29" i="6" s="1"/>
  <c r="A30" i="6"/>
  <c r="A27" i="12"/>
  <c r="U26" i="12"/>
  <c r="V26" i="12" s="1"/>
  <c r="N26" i="12"/>
  <c r="W28" i="6" l="1"/>
  <c r="N27" i="6"/>
  <c r="W28" i="4"/>
  <c r="N27" i="4"/>
  <c r="U26" i="7"/>
  <c r="V26" i="7" s="1"/>
  <c r="A27" i="7"/>
  <c r="N26" i="7"/>
  <c r="U30" i="6"/>
  <c r="V30" i="6" s="1"/>
  <c r="A31" i="6"/>
  <c r="N30" i="6"/>
  <c r="A28" i="5"/>
  <c r="U27" i="5"/>
  <c r="V27" i="5" s="1"/>
  <c r="N27" i="5" s="1"/>
  <c r="A28" i="9"/>
  <c r="U27" i="9"/>
  <c r="V27" i="9" s="1"/>
  <c r="N27" i="9"/>
  <c r="A27" i="10"/>
  <c r="U26" i="10"/>
  <c r="V26" i="10" s="1"/>
  <c r="N26" i="10"/>
  <c r="A32" i="15"/>
  <c r="N31" i="15"/>
  <c r="U31" i="4"/>
  <c r="V31" i="4" s="1"/>
  <c r="A32" i="4"/>
  <c r="U29" i="11"/>
  <c r="V29" i="11" s="1"/>
  <c r="A30" i="11"/>
  <c r="N29" i="11"/>
  <c r="A31" i="8"/>
  <c r="U30" i="8"/>
  <c r="V30" i="8" s="1"/>
  <c r="N30" i="8"/>
  <c r="U27" i="14"/>
  <c r="V27" i="14" s="1"/>
  <c r="A28" i="14"/>
  <c r="N27" i="14"/>
  <c r="U27" i="12"/>
  <c r="V27" i="12" s="1"/>
  <c r="A28" i="12"/>
  <c r="N27" i="12"/>
  <c r="U27" i="13"/>
  <c r="V27" i="13" s="1"/>
  <c r="A28" i="13"/>
  <c r="N27" i="13"/>
  <c r="U27" i="10" l="1"/>
  <c r="V27" i="10" s="1"/>
  <c r="A28" i="10"/>
  <c r="N27" i="10"/>
  <c r="U31" i="8"/>
  <c r="V31" i="8" s="1"/>
  <c r="A32" i="8"/>
  <c r="N31" i="8"/>
  <c r="W29" i="4"/>
  <c r="N28" i="4"/>
  <c r="A33" i="4"/>
  <c r="U32" i="4"/>
  <c r="V32" i="4" s="1"/>
  <c r="A28" i="7"/>
  <c r="U27" i="7"/>
  <c r="V27" i="7" s="1"/>
  <c r="N27" i="7"/>
  <c r="A29" i="13"/>
  <c r="U28" i="13"/>
  <c r="V28" i="13" s="1"/>
  <c r="N28" i="13"/>
  <c r="U30" i="11"/>
  <c r="V30" i="11" s="1"/>
  <c r="A31" i="11"/>
  <c r="N30" i="11"/>
  <c r="A29" i="9"/>
  <c r="U28" i="9"/>
  <c r="V28" i="9" s="1"/>
  <c r="N28" i="9"/>
  <c r="A29" i="12"/>
  <c r="U28" i="12"/>
  <c r="V28" i="12" s="1"/>
  <c r="N28" i="12"/>
  <c r="A29" i="5"/>
  <c r="U28" i="5"/>
  <c r="V28" i="5" s="1"/>
  <c r="N28" i="5"/>
  <c r="U31" i="6"/>
  <c r="V31" i="6" s="1"/>
  <c r="A32" i="6"/>
  <c r="N31" i="6"/>
  <c r="U28" i="14"/>
  <c r="V28" i="14" s="1"/>
  <c r="A29" i="14"/>
  <c r="N28" i="14"/>
  <c r="A33" i="15"/>
  <c r="U32" i="15"/>
  <c r="V32" i="15" s="1"/>
  <c r="N32" i="15"/>
  <c r="W29" i="6"/>
  <c r="N28" i="6"/>
  <c r="A32" i="11" l="1"/>
  <c r="U31" i="11"/>
  <c r="V31" i="11" s="1"/>
  <c r="N31" i="11"/>
  <c r="U28" i="7"/>
  <c r="V28" i="7" s="1"/>
  <c r="A29" i="7"/>
  <c r="N28" i="7"/>
  <c r="A30" i="14"/>
  <c r="U29" i="14"/>
  <c r="V29" i="14" s="1"/>
  <c r="N29" i="14"/>
  <c r="A30" i="13"/>
  <c r="U29" i="13"/>
  <c r="V29" i="13" s="1"/>
  <c r="N29" i="13"/>
  <c r="W30" i="4"/>
  <c r="N29" i="4"/>
  <c r="A33" i="8"/>
  <c r="U32" i="8"/>
  <c r="V32" i="8" s="1"/>
  <c r="N32" i="8"/>
  <c r="A29" i="10"/>
  <c r="U28" i="10"/>
  <c r="V28" i="10" s="1"/>
  <c r="N28" i="10"/>
  <c r="U33" i="15"/>
  <c r="V33" i="15" s="1"/>
  <c r="A34" i="15"/>
  <c r="N33" i="15"/>
  <c r="U29" i="12"/>
  <c r="V29" i="12" s="1"/>
  <c r="A30" i="12"/>
  <c r="N29" i="12"/>
  <c r="U29" i="9"/>
  <c r="V29" i="9" s="1"/>
  <c r="A30" i="9"/>
  <c r="N29" i="9"/>
  <c r="U33" i="4"/>
  <c r="V33" i="4" s="1"/>
  <c r="A34" i="4"/>
  <c r="U32" i="6"/>
  <c r="V32" i="6" s="1"/>
  <c r="A33" i="6"/>
  <c r="N32" i="6"/>
  <c r="W30" i="6"/>
  <c r="W31" i="6" s="1"/>
  <c r="W32" i="6" s="1"/>
  <c r="W33" i="6" s="1"/>
  <c r="W34" i="6" s="1"/>
  <c r="W35" i="6" s="1"/>
  <c r="W36" i="6" s="1"/>
  <c r="W37" i="6" s="1"/>
  <c r="N29" i="6"/>
  <c r="N29" i="5"/>
  <c r="A30" i="5"/>
  <c r="U29" i="5"/>
  <c r="V29" i="5" s="1"/>
  <c r="U33" i="8" l="1"/>
  <c r="V33" i="8" s="1"/>
  <c r="A34" i="8"/>
  <c r="N33" i="8"/>
  <c r="A35" i="4"/>
  <c r="U34" i="4"/>
  <c r="V34" i="4" s="1"/>
  <c r="A31" i="14"/>
  <c r="U30" i="14"/>
  <c r="V30" i="14" s="1"/>
  <c r="N30" i="14"/>
  <c r="A30" i="10"/>
  <c r="U29" i="10"/>
  <c r="V29" i="10" s="1"/>
  <c r="N29" i="10"/>
  <c r="A34" i="6"/>
  <c r="U33" i="6"/>
  <c r="V33" i="6" s="1"/>
  <c r="N33" i="6"/>
  <c r="A35" i="15"/>
  <c r="U34" i="15"/>
  <c r="V34" i="15" s="1"/>
  <c r="N34" i="15"/>
  <c r="U30" i="13"/>
  <c r="V30" i="13" s="1"/>
  <c r="A31" i="13"/>
  <c r="N30" i="13"/>
  <c r="U29" i="7"/>
  <c r="V29" i="7" s="1"/>
  <c r="A30" i="7"/>
  <c r="N29" i="7"/>
  <c r="U30" i="9"/>
  <c r="V30" i="9" s="1"/>
  <c r="A31" i="9"/>
  <c r="N30" i="9"/>
  <c r="U30" i="5"/>
  <c r="V30" i="5" s="1"/>
  <c r="A31" i="5"/>
  <c r="N30" i="5"/>
  <c r="A31" i="12"/>
  <c r="U30" i="12"/>
  <c r="V30" i="12" s="1"/>
  <c r="N30" i="12"/>
  <c r="W31" i="4"/>
  <c r="N30" i="4"/>
  <c r="A33" i="11"/>
  <c r="U32" i="11"/>
  <c r="V32" i="11" s="1"/>
  <c r="N32" i="11"/>
  <c r="U33" i="11" l="1"/>
  <c r="V33" i="11" s="1"/>
  <c r="A34" i="11"/>
  <c r="N33" i="11"/>
  <c r="W32" i="4"/>
  <c r="N31" i="4"/>
  <c r="U30" i="10"/>
  <c r="V30" i="10" s="1"/>
  <c r="A31" i="10"/>
  <c r="N30" i="10"/>
  <c r="U31" i="13"/>
  <c r="V31" i="13" s="1"/>
  <c r="A32" i="13"/>
  <c r="N31" i="13"/>
  <c r="U31" i="14"/>
  <c r="V31" i="14" s="1"/>
  <c r="A32" i="14"/>
  <c r="N31" i="14"/>
  <c r="A32" i="5"/>
  <c r="U31" i="5"/>
  <c r="V31" i="5" s="1"/>
  <c r="N31" i="5" s="1"/>
  <c r="A32" i="9"/>
  <c r="U31" i="9"/>
  <c r="V31" i="9" s="1"/>
  <c r="N31" i="9"/>
  <c r="U34" i="8"/>
  <c r="V34" i="8" s="1"/>
  <c r="A35" i="8"/>
  <c r="N34" i="8"/>
  <c r="U30" i="7"/>
  <c r="V30" i="7" s="1"/>
  <c r="A31" i="7"/>
  <c r="N30" i="7"/>
  <c r="U31" i="12"/>
  <c r="V31" i="12" s="1"/>
  <c r="A32" i="12"/>
  <c r="N31" i="12"/>
  <c r="U35" i="15"/>
  <c r="V35" i="15" s="1"/>
  <c r="A36" i="15"/>
  <c r="N35" i="15"/>
  <c r="U35" i="4"/>
  <c r="V35" i="4" s="1"/>
  <c r="A36" i="4"/>
  <c r="N34" i="6"/>
  <c r="A35" i="6"/>
  <c r="U34" i="6"/>
  <c r="V34" i="6" s="1"/>
  <c r="A33" i="13" l="1"/>
  <c r="U32" i="13"/>
  <c r="V32" i="13" s="1"/>
  <c r="N32" i="13"/>
  <c r="A37" i="4"/>
  <c r="U36" i="4"/>
  <c r="V36" i="4" s="1"/>
  <c r="A37" i="15"/>
  <c r="N37" i="15" s="1"/>
  <c r="U36" i="15"/>
  <c r="V36" i="15" s="1"/>
  <c r="V37" i="15" s="1"/>
  <c r="N36" i="15"/>
  <c r="U31" i="10"/>
  <c r="V31" i="10" s="1"/>
  <c r="A32" i="10"/>
  <c r="N31" i="10"/>
  <c r="A33" i="9"/>
  <c r="U32" i="9"/>
  <c r="V32" i="9" s="1"/>
  <c r="N32" i="9"/>
  <c r="W33" i="4"/>
  <c r="N32" i="4"/>
  <c r="A33" i="5"/>
  <c r="U32" i="5"/>
  <c r="V32" i="5" s="1"/>
  <c r="N32" i="5" s="1"/>
  <c r="U34" i="11"/>
  <c r="V34" i="11" s="1"/>
  <c r="A35" i="11"/>
  <c r="N34" i="11"/>
  <c r="A36" i="8"/>
  <c r="U35" i="8"/>
  <c r="V35" i="8" s="1"/>
  <c r="N35" i="8"/>
  <c r="A33" i="12"/>
  <c r="U32" i="12"/>
  <c r="V32" i="12" s="1"/>
  <c r="N32" i="12"/>
  <c r="U35" i="6"/>
  <c r="V35" i="6" s="1"/>
  <c r="A36" i="6"/>
  <c r="N35" i="6"/>
  <c r="A32" i="7"/>
  <c r="U31" i="7"/>
  <c r="V31" i="7" s="1"/>
  <c r="N31" i="7"/>
  <c r="U32" i="14"/>
  <c r="V32" i="14" s="1"/>
  <c r="A33" i="14"/>
  <c r="N32" i="14"/>
  <c r="A37" i="8" l="1"/>
  <c r="U36" i="8"/>
  <c r="V36" i="8" s="1"/>
  <c r="N36" i="8"/>
  <c r="A33" i="10"/>
  <c r="U32" i="10"/>
  <c r="V32" i="10" s="1"/>
  <c r="N32" i="10"/>
  <c r="A36" i="11"/>
  <c r="U35" i="11"/>
  <c r="V35" i="11" s="1"/>
  <c r="N35" i="11"/>
  <c r="U32" i="7"/>
  <c r="V32" i="7" s="1"/>
  <c r="A33" i="7"/>
  <c r="N32" i="7"/>
  <c r="A37" i="6"/>
  <c r="U36" i="6"/>
  <c r="V36" i="6" s="1"/>
  <c r="N36" i="6"/>
  <c r="U33" i="5"/>
  <c r="V33" i="5" s="1"/>
  <c r="A34" i="5"/>
  <c r="N33" i="5"/>
  <c r="W34" i="4"/>
  <c r="N33" i="4"/>
  <c r="U37" i="4"/>
  <c r="V37" i="4" s="1"/>
  <c r="A34" i="12"/>
  <c r="U33" i="12"/>
  <c r="V33" i="12" s="1"/>
  <c r="N33" i="12"/>
  <c r="A34" i="14"/>
  <c r="U33" i="14"/>
  <c r="V33" i="14" s="1"/>
  <c r="N33" i="14"/>
  <c r="U33" i="9"/>
  <c r="V33" i="9" s="1"/>
  <c r="A34" i="9"/>
  <c r="N33" i="9"/>
  <c r="A34" i="13"/>
  <c r="U33" i="13"/>
  <c r="V33" i="13" s="1"/>
  <c r="N33" i="13"/>
  <c r="A37" i="11" l="1"/>
  <c r="U36" i="11"/>
  <c r="V36" i="11" s="1"/>
  <c r="N36" i="11"/>
  <c r="U34" i="5"/>
  <c r="V34" i="5" s="1"/>
  <c r="N34" i="5"/>
  <c r="A34" i="7"/>
  <c r="U33" i="7"/>
  <c r="V33" i="7" s="1"/>
  <c r="N33" i="7"/>
  <c r="A35" i="13"/>
  <c r="U34" i="13"/>
  <c r="V34" i="13" s="1"/>
  <c r="N34" i="13"/>
  <c r="W35" i="4"/>
  <c r="N34" i="4"/>
  <c r="A35" i="12"/>
  <c r="U34" i="12"/>
  <c r="V34" i="12" s="1"/>
  <c r="N34" i="12"/>
  <c r="U34" i="9"/>
  <c r="V34" i="9" s="1"/>
  <c r="A35" i="9"/>
  <c r="N34" i="9"/>
  <c r="U33" i="10"/>
  <c r="V33" i="10" s="1"/>
  <c r="A34" i="10"/>
  <c r="N33" i="10"/>
  <c r="U34" i="14"/>
  <c r="V34" i="14" s="1"/>
  <c r="A35" i="14"/>
  <c r="N34" i="14"/>
  <c r="U37" i="6"/>
  <c r="V37" i="6" s="1"/>
  <c r="N37" i="6"/>
  <c r="U37" i="8"/>
  <c r="V37" i="8" s="1"/>
  <c r="N37" i="8"/>
  <c r="U35" i="14" l="1"/>
  <c r="V35" i="14" s="1"/>
  <c r="A36" i="14"/>
  <c r="N35" i="14"/>
  <c r="U35" i="13"/>
  <c r="V35" i="13" s="1"/>
  <c r="A36" i="13"/>
  <c r="N35" i="13"/>
  <c r="A36" i="9"/>
  <c r="U35" i="9"/>
  <c r="V35" i="9" s="1"/>
  <c r="N35" i="9"/>
  <c r="W36" i="4"/>
  <c r="N35" i="4"/>
  <c r="A35" i="10"/>
  <c r="U34" i="10"/>
  <c r="V34" i="10" s="1"/>
  <c r="N34" i="10"/>
  <c r="U34" i="7"/>
  <c r="V34" i="7" s="1"/>
  <c r="N34" i="7"/>
  <c r="A35" i="7"/>
  <c r="U35" i="12"/>
  <c r="V35" i="12" s="1"/>
  <c r="A36" i="12"/>
  <c r="N35" i="12"/>
  <c r="U37" i="11"/>
  <c r="V37" i="11" s="1"/>
  <c r="N37" i="11"/>
  <c r="U35" i="10" l="1"/>
  <c r="V35" i="10" s="1"/>
  <c r="A36" i="10"/>
  <c r="N35" i="10"/>
  <c r="A36" i="7"/>
  <c r="U35" i="7"/>
  <c r="V35" i="7" s="1"/>
  <c r="N35" i="7"/>
  <c r="U36" i="14"/>
  <c r="V36" i="14" s="1"/>
  <c r="N36" i="14"/>
  <c r="W37" i="4"/>
  <c r="N37" i="4" s="1"/>
  <c r="N36" i="4"/>
  <c r="U36" i="12"/>
  <c r="V36" i="12" s="1"/>
  <c r="N36" i="12"/>
  <c r="U36" i="9"/>
  <c r="V36" i="9" s="1"/>
  <c r="N36" i="9"/>
  <c r="A37" i="13"/>
  <c r="U36" i="13"/>
  <c r="V36" i="13" s="1"/>
  <c r="N36" i="13"/>
  <c r="I4" i="4" l="1"/>
  <c r="I3" i="5" s="1"/>
  <c r="I4" i="5" s="1"/>
  <c r="U36" i="7"/>
  <c r="V36" i="7" s="1"/>
  <c r="N36" i="7"/>
  <c r="U37" i="13"/>
  <c r="V37" i="13" s="1"/>
  <c r="N37" i="13"/>
  <c r="A37" i="10"/>
  <c r="U36" i="10"/>
  <c r="V36" i="10" s="1"/>
  <c r="N36" i="10"/>
  <c r="E9" i="3" l="1"/>
  <c r="U37" i="10"/>
  <c r="V37" i="10" s="1"/>
  <c r="N37" i="10"/>
  <c r="I3" i="6"/>
  <c r="I4" i="6" s="1"/>
  <c r="E10" i="3"/>
  <c r="I3" i="7" l="1"/>
  <c r="E1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Henrik Ekberg</author>
  </authors>
  <commentList>
    <comment ref="U7" authorId="0" shapeId="0" xr:uid="{00000000-0006-0000-0300-000001000000}">
      <text>
        <r>
          <rPr>
            <sz val="10"/>
            <rFont val="Geneva"/>
          </rPr>
          <t>Henrik Ekberg
arbetsfri dag - formeln ersatt med värdet 8</t>
        </r>
      </text>
    </comment>
    <comment ref="V11" authorId="0" shapeId="0" xr:uid="{00000000-0006-0000-0300-000002000000}">
      <text>
        <r>
          <rPr>
            <sz val="10"/>
            <rFont val="Geneva"/>
          </rPr>
          <t>Henrik Ekberg:
modifierad formel 4 tim i st f 8</t>
        </r>
      </text>
    </comment>
    <comment ref="U12" authorId="0" shapeId="0" xr:uid="{00000000-0006-0000-0300-000003000000}">
      <text>
        <r>
          <rPr>
            <sz val="10"/>
            <rFont val="Geneva"/>
          </rPr>
          <t>Henrik Ekberg
arbetsfri dag - formeln ersatt med värdet 8</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Henrik Ekberg</author>
  </authors>
  <commentList>
    <comment ref="U7" authorId="0" shapeId="0" xr:uid="{00000000-0006-0000-0500-000001000000}">
      <text>
        <r>
          <rPr>
            <sz val="10"/>
            <rFont val="Geneva"/>
          </rPr>
          <t>Henrik Ekberg
arbetsfri dag - formeln ersatt med värdet 8</t>
        </r>
      </text>
    </comment>
    <comment ref="V11" authorId="0" shapeId="0" xr:uid="{00000000-0006-0000-0500-000002000000}">
      <text>
        <r>
          <rPr>
            <sz val="10"/>
            <rFont val="Geneva"/>
          </rPr>
          <t>Henrik Ekberg:
modifierad formel 4 tim i st f 8</t>
        </r>
      </text>
    </comment>
    <comment ref="U12" authorId="0" shapeId="0" xr:uid="{00000000-0006-0000-0500-000003000000}">
      <text>
        <r>
          <rPr>
            <sz val="10"/>
            <rFont val="Geneva"/>
          </rPr>
          <t>Henrik Ekberg
arbetsfri dag - formeln ersatt med värdet 8</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Henrik Ekberg</author>
  </authors>
  <commentList>
    <comment ref="U7" authorId="0" shapeId="0" xr:uid="{00000000-0006-0000-0600-000001000000}">
      <text>
        <r>
          <rPr>
            <sz val="10"/>
            <rFont val="Geneva"/>
          </rPr>
          <t>Henrik Ekberg
arbetsfri dag - formeln ersatt med värdet 8</t>
        </r>
      </text>
    </comment>
    <comment ref="V11" authorId="0" shapeId="0" xr:uid="{00000000-0006-0000-0600-000002000000}">
      <text>
        <r>
          <rPr>
            <sz val="10"/>
            <rFont val="Geneva"/>
          </rPr>
          <t>Henrik Ekberg:
modifierad formel 4 tim i st f 8</t>
        </r>
      </text>
    </comment>
    <comment ref="U12" authorId="0" shapeId="0" xr:uid="{00000000-0006-0000-0600-000003000000}">
      <text>
        <r>
          <rPr>
            <sz val="10"/>
            <rFont val="Geneva"/>
          </rPr>
          <t>Henrik Ekberg
arbetsfri dag - formeln ersatt med värdet 8</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Henrik Ekberg</author>
  </authors>
  <commentList>
    <comment ref="U7" authorId="0" shapeId="0" xr:uid="{00000000-0006-0000-0700-000001000000}">
      <text>
        <r>
          <rPr>
            <sz val="10"/>
            <rFont val="Geneva"/>
          </rPr>
          <t>Henrik Ekberg
arbetsfri dag - formeln ersatt med värdet 8</t>
        </r>
      </text>
    </comment>
    <comment ref="V11" authorId="0" shapeId="0" xr:uid="{00000000-0006-0000-0700-000002000000}">
      <text>
        <r>
          <rPr>
            <sz val="10"/>
            <rFont val="Geneva"/>
          </rPr>
          <t>Henrik Ekberg:
modifierad formel 4 tim i st f 8</t>
        </r>
      </text>
    </comment>
    <comment ref="U12" authorId="0" shapeId="0" xr:uid="{00000000-0006-0000-0700-000003000000}">
      <text>
        <r>
          <rPr>
            <sz val="10"/>
            <rFont val="Geneva"/>
          </rPr>
          <t>Henrik Ekberg
arbetsfri dag - formeln ersatt med värdet 8</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Henrik Ekberg</author>
  </authors>
  <commentList>
    <comment ref="U7" authorId="0" shapeId="0" xr:uid="{00000000-0006-0000-0800-000001000000}">
      <text>
        <r>
          <rPr>
            <sz val="10"/>
            <rFont val="Geneva"/>
          </rPr>
          <t>Henrik Ekberg
arbetsfri dag - formeln ersatt med värdet 8</t>
        </r>
      </text>
    </comment>
    <comment ref="V11" authorId="0" shapeId="0" xr:uid="{00000000-0006-0000-0800-000002000000}">
      <text>
        <r>
          <rPr>
            <sz val="10"/>
            <rFont val="Geneva"/>
          </rPr>
          <t>Henrik Ekberg:
modifierad formel 4 tim i st f 8</t>
        </r>
      </text>
    </comment>
    <comment ref="U12" authorId="0" shapeId="0" xr:uid="{00000000-0006-0000-0800-000003000000}">
      <text>
        <r>
          <rPr>
            <sz val="10"/>
            <rFont val="Geneva"/>
          </rPr>
          <t>Henrik Ekberg
arbetsfri dag - formeln ersatt med värdet 8</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Henrik Ekberg</author>
  </authors>
  <commentList>
    <comment ref="U7" authorId="0" shapeId="0" xr:uid="{00000000-0006-0000-0900-000001000000}">
      <text>
        <r>
          <rPr>
            <sz val="10"/>
            <rFont val="Geneva"/>
          </rPr>
          <t>Henrik Ekberg
arbetsfri dag - formeln ersatt med värdet 8</t>
        </r>
      </text>
    </comment>
    <comment ref="V11" authorId="0" shapeId="0" xr:uid="{00000000-0006-0000-0900-000002000000}">
      <text>
        <r>
          <rPr>
            <sz val="10"/>
            <rFont val="Geneva"/>
          </rPr>
          <t>Henrik Ekberg:
modifierad formel 4 tim i st f 8</t>
        </r>
      </text>
    </comment>
    <comment ref="U12" authorId="0" shapeId="0" xr:uid="{00000000-0006-0000-0900-000003000000}">
      <text>
        <r>
          <rPr>
            <sz val="10"/>
            <rFont val="Geneva"/>
          </rPr>
          <t>Henrik Ekberg
arbetsfri dag - formeln ersatt med värdet 8</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Henrik Ekberg</author>
  </authors>
  <commentList>
    <comment ref="U7" authorId="0" shapeId="0" xr:uid="{00000000-0006-0000-0A00-000001000000}">
      <text>
        <r>
          <rPr>
            <sz val="10"/>
            <rFont val="Geneva"/>
          </rPr>
          <t>Henrik Ekberg
arbetsfri dag - formeln ersatt med värdet 8</t>
        </r>
      </text>
    </comment>
    <comment ref="V11" authorId="0" shapeId="0" xr:uid="{00000000-0006-0000-0A00-000002000000}">
      <text>
        <r>
          <rPr>
            <sz val="10"/>
            <rFont val="Geneva"/>
          </rPr>
          <t>Henrik Ekberg:
modifierad formel 4 tim i st f 8</t>
        </r>
      </text>
    </comment>
    <comment ref="U12" authorId="0" shapeId="0" xr:uid="{00000000-0006-0000-0A00-000003000000}">
      <text>
        <r>
          <rPr>
            <sz val="10"/>
            <rFont val="Geneva"/>
          </rPr>
          <t>Henrik Ekberg
arbetsfri dag - formeln ersatt med värdet 8</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Henrik Ekberg</author>
  </authors>
  <commentList>
    <comment ref="U7" authorId="0" shapeId="0" xr:uid="{00000000-0006-0000-0B00-000001000000}">
      <text>
        <r>
          <rPr>
            <sz val="10"/>
            <rFont val="Geneva"/>
          </rPr>
          <t>Henrik Ekberg
arbetsfri dag - formeln ersatt med värdet 8</t>
        </r>
      </text>
    </comment>
    <comment ref="V11" authorId="0" shapeId="0" xr:uid="{00000000-0006-0000-0B00-000002000000}">
      <text>
        <r>
          <rPr>
            <sz val="10"/>
            <rFont val="Geneva"/>
          </rPr>
          <t>Henrik Ekberg:
modifierad formel 4 tim i st f 8</t>
        </r>
      </text>
    </comment>
    <comment ref="U12" authorId="0" shapeId="0" xr:uid="{00000000-0006-0000-0B00-000003000000}">
      <text>
        <r>
          <rPr>
            <sz val="10"/>
            <rFont val="Geneva"/>
          </rPr>
          <t>Henrik Ekberg
arbetsfri dag - formeln ersatt med värdet 8</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Henrik Ekberg</author>
  </authors>
  <commentList>
    <comment ref="U7" authorId="0" shapeId="0" xr:uid="{00000000-0006-0000-0C00-000001000000}">
      <text>
        <r>
          <rPr>
            <sz val="10"/>
            <rFont val="Geneva"/>
          </rPr>
          <t>Henrik Ekberg
arbetsfri dag - formeln ersatt med värdet 8</t>
        </r>
      </text>
    </comment>
    <comment ref="V11" authorId="0" shapeId="0" xr:uid="{00000000-0006-0000-0C00-000002000000}">
      <text>
        <r>
          <rPr>
            <sz val="10"/>
            <rFont val="Geneva"/>
          </rPr>
          <t>Henrik Ekberg:
modifierad formel 4 tim i st f 8</t>
        </r>
      </text>
    </comment>
    <comment ref="U12" authorId="0" shapeId="0" xr:uid="{00000000-0006-0000-0C00-000003000000}">
      <text>
        <r>
          <rPr>
            <sz val="10"/>
            <rFont val="Geneva"/>
          </rPr>
          <t>Henrik Ekberg
arbetsfri dag - formeln ersatt med värdet 8</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Henrik Ekberg</author>
  </authors>
  <commentList>
    <comment ref="U7" authorId="0" shapeId="0" xr:uid="{00000000-0006-0000-0D00-000001000000}">
      <text>
        <r>
          <rPr>
            <sz val="10"/>
            <rFont val="Geneva"/>
          </rPr>
          <t>Henrik Ekberg
arbetsfri dag - formeln ersatt med värdet 8</t>
        </r>
      </text>
    </comment>
    <comment ref="V11" authorId="0" shapeId="0" xr:uid="{00000000-0006-0000-0D00-000002000000}">
      <text>
        <r>
          <rPr>
            <sz val="10"/>
            <rFont val="Geneva"/>
          </rPr>
          <t>Henrik Ekberg:
modifierad formel 4 tim i st f 8</t>
        </r>
      </text>
    </comment>
    <comment ref="U12" authorId="0" shapeId="0" xr:uid="{00000000-0006-0000-0D00-000003000000}">
      <text>
        <r>
          <rPr>
            <sz val="10"/>
            <rFont val="Geneva"/>
          </rPr>
          <t>Henrik Ekberg
arbetsfri dag - formeln ersatt med värdet 8</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Henrik Ekberg</author>
  </authors>
  <commentList>
    <comment ref="U7" authorId="0" shapeId="0" xr:uid="{00000000-0006-0000-0E00-000001000000}">
      <text>
        <r>
          <rPr>
            <sz val="10"/>
            <rFont val="Geneva"/>
          </rPr>
          <t>Henrik Ekberg
arbetsfri dag - formeln ersatt med värdet 8</t>
        </r>
      </text>
    </comment>
    <comment ref="V11" authorId="0" shapeId="0" xr:uid="{00000000-0006-0000-0E00-000002000000}">
      <text>
        <r>
          <rPr>
            <sz val="10"/>
            <rFont val="Geneva"/>
          </rPr>
          <t>Henrik Ekberg:
modifierad formel 4 tim i st f 8</t>
        </r>
      </text>
    </comment>
    <comment ref="U12" authorId="0" shapeId="0" xr:uid="{00000000-0006-0000-0E00-000003000000}">
      <text>
        <r>
          <rPr>
            <sz val="10"/>
            <rFont val="Geneva"/>
          </rPr>
          <t>Henrik Ekberg
arbetsfri dag - formeln ersatt med värdet 8</t>
        </r>
      </text>
    </comment>
  </commentList>
</comments>
</file>

<file path=xl/sharedStrings.xml><?xml version="1.0" encoding="utf-8"?>
<sst xmlns="http://schemas.openxmlformats.org/spreadsheetml/2006/main" count="474" uniqueCount="100">
  <si>
    <t>Namn</t>
  </si>
  <si>
    <t>Närvaro</t>
  </si>
  <si>
    <t>Referenstid</t>
  </si>
  <si>
    <t>Pnr</t>
  </si>
  <si>
    <t>Avvikelse</t>
  </si>
  <si>
    <t>Månadens saldo</t>
  </si>
  <si>
    <t>Månad</t>
  </si>
  <si>
    <t>Totalt</t>
  </si>
  <si>
    <t>Ing flex</t>
  </si>
  <si>
    <t>Tj-grad</t>
  </si>
  <si>
    <t>Ev korrigering</t>
  </si>
  <si>
    <t>Utg flex</t>
  </si>
  <si>
    <t>För registrering av tid enligt egna uppdelningar.</t>
  </si>
  <si>
    <t>Närvarotid</t>
  </si>
  <si>
    <t>Avvikelser från dagregistreringen</t>
  </si>
  <si>
    <t>Saldo</t>
  </si>
  <si>
    <t>(Påverkar inte flextidsredovisningen.)</t>
  </si>
  <si>
    <t>Dag</t>
  </si>
  <si>
    <t>Norm</t>
  </si>
  <si>
    <t>Arb tim ack</t>
  </si>
  <si>
    <t>Börjar</t>
  </si>
  <si>
    <t>Slutar</t>
  </si>
  <si>
    <t>Lunch</t>
  </si>
  <si>
    <t>Tim : min</t>
  </si>
  <si>
    <t>Tim dec</t>
  </si>
  <si>
    <t>Kommentar</t>
  </si>
  <si>
    <t>Fr.o.m. kl</t>
  </si>
  <si>
    <t>T.o.m. kl</t>
  </si>
  <si>
    <t>+ / -</t>
  </si>
  <si>
    <t>Avvik tim</t>
  </si>
  <si>
    <t>hittills</t>
  </si>
  <si>
    <t>Noteringar</t>
  </si>
  <si>
    <t>Fettisdagen!</t>
  </si>
  <si>
    <t>SEMESTER</t>
  </si>
  <si>
    <t>Om blanketten</t>
  </si>
  <si>
    <t>Flexblanketten innehåller ett antal funktioner för automatisk summering. För att detta ska fungera får inga rader, kolumner eller celler infogas eller tas bort – det kan innebära att beräkningarna inte blir korrekta. Eventuella frågor om blanketten skickas till lon@liu.se
Dokumentet innehåller en flik för varje månad plus en översiktsflik.</t>
  </si>
  <si>
    <t>Fliken "Översikt"</t>
  </si>
  <si>
    <t>På översiktsfliken anges följande:
• namn
• personnummer
• ingående flexsaldo (anges i decimal form med komma som decimalseparator)
• tjänstgöringsgrad i procent
Därefter behöver inga uppgifter på fliken ändras.
På översiktsfliken syns också en sammanställning över saldo per månad, ackumulerat saldo samt eventuella justeringar av saldot. Detta beräknas automatiskt utifrån de uppgifter som skrivs in på månadsflikarna. Här framgår också referenstid per månad, dagar med arbetstidsförkortning och klämdagar. 
Den angivna referenstiden här är beräknad utifrån den tjänstgöringsgrad som angetts enligt ovan. Som standard kopieras den tjänstgöringsgrad som anges på fliken ”Översikt” till respektive månadsflik. 
Om du har olika  tjänstgöringsgrad under året justeras procentsatsen direkt på respektive månadsflik. Du kan kontrollera så att rätt procentsats har angetts genom att titta i kolumnen ”Tj-grad” på översiktsfliken.</t>
  </si>
  <si>
    <t>Skrolla nedåt för mera text</t>
  </si>
  <si>
    <t>Månadsflikarna</t>
  </si>
  <si>
    <t>Alla klockslag och tider anges med timmar och minuter separerade av kolon (om inte annat anges). All sammanräkning sker automatiskt och utgående saldo för en månad förs över som ingående saldo följande månad.
Exempel på hur tidsangivelser skrivs in:
• klockan åtta på förmiddagen anges som 8:00
• klockan halv fem på eftermiddagen anges som 16:30
• trekvarts timme (45 minuter) anges som 0:45
Omräkning till tid i decimalform sker automatiskt.
Sammanräkningen beaktar också klämdagar och dagar med arbetstidsförkortning – ingen korrigering för detta behöver skrivas in. Klämdagar är gråmarkerade (arbetsfria dagar) och dagar med arbetstidsförkortning är gulmarkerade. (Om du arbetar koncentrerad deltid och/eller har semester en dag med arbetstidsförkortning kan antalet timmar behöva justeras manuellt.)
Om flexsaldot behöver korrigeras, till exempel om kompensation för arbetad tid betalats ut i form av övertids- eller mertidsersättning, skrivs detta in i den ljusgrå rutan ”Ev korrigering”. Antalet timmar skrivs här i decimal form – med minustecken om flexsaldot ska minskas.</t>
  </si>
  <si>
    <t>För varje dag anges klockslag då arbetsdagen börjar respektive slutar. När ”Slutar”-tiden för respektive dag skrivs in räknas närvarotiden ut. Lunchen anges med automatik till 30 minuter – om lunchen varat längre fylls detta i manuellt genom att skriva över uppgiften 00:30 (start- och sluttid för lunchen behöver inte anges utan bara längden). Om du inte haft någon lunch (till exempel om du arbetar deltid) raderas uppgiften för lunch (det går inte att skriva noll i denna ruta).</t>
  </si>
  <si>
    <t>Ledigheter och avvikelser från dagregistreringen</t>
  </si>
  <si>
    <t>Vid ledighet fylls i vissa fall antalet timmar i med automatik. Om du skriver något av följande i kolumnen "Kommentar" fylls frånvaro för hel dag i:
• Semester
• Sjuk
• Vård av barn
De dagar du har sådan ledighet ska således inget skrivas i kolumnerna för närvarotid!
Om du har annan frånvaro under dagen (eller del av denna) skrivs anledningen in i kolumnen "Kommentar". Frånvaro under del av dagen för t.ex. sjukdom anges då som "Sjuk del av dagen", "Vård av barn 4 tim" eller liknande. I dessa fall anges klockslag samt om det är plus- eller minustid så att antal timmar i kolumnen "Avvik tim" blir korrekt.
(Den automatiska beräkningen av timmar görs som om du varit frånvarande hela dagen. För dig som arbetar koncentrerad deltid är denna beräkning inte alltid korrekt utan behöver korrigeras. Skriv då något annat än exakt det som anges i punktlistan ovan så kan antalet timmar fyllas i manuellt (exempelvis "semesterdag", "sjukdom" eller "vård av sjukt barn".)</t>
  </si>
  <si>
    <t>Informationsrutor på månadsflikarna</t>
  </si>
  <si>
    <t>Högst upp på månadsflikarna finns ett antal rutor:
• Tj-grad: Den tjänstgöringsgrad som angetts på fliken Översikt. Om den behöver justeras en viss månad
   anges den nya omfattningen i denna ruta.
• Närvaro: Summa närvarotid (med lunch frånräknad) i decimal form för aktuell månad.
• Avvikelse: Summa avvikelsetid (i förekommande fall) i decimal form för aktuell månad.
• Totalt: Närvarotid plus avvikelsetid för aktuell månad.
• Ev korrigering: Eventuell korrigering av flexsaldot som gjorts denna månad (anges ’decimalt’ med
   kommatecken; om två och en halv timme utbetalats som lön anges det som -2,5).
• Referenstid: Antal arbetstimmar för månaden.
• Månadens saldo: Antal timmar totalt minus referenstiden för aktuell månad. Denna siffra visas också på
   fliken Översikt.
• Ing flex: Ingående flexsaldo för månaden.
• Utg flex: Utgående flexsaldo för månaden (beräknat som ingående flexsaldoplus saldo plus ev korrigering).
I kolumnen ”Saldo hittills” beräknas den aktuella månadens saldo dag för dag. Här kan du alltså se hur du ligger till under innevarande månad jämfört med normtiden.</t>
  </si>
  <si>
    <t>För dig som arbetar koncentrerad deltid</t>
  </si>
  <si>
    <t>Kolumnen "Saldo hittills" jämför närvarotid och avvikelsetid hittills under månaden med den normaltid som gäller. Beräkningen beaktar dock inte schema för koncentrerad deltid utan baseras på att antalet timmar per dag är jämnt fördelat under arbetsveckan. Det innebär att kolumnen inte ger en rättvisande bild av hur du ligger till jämfört med normalarbetstiden.
Beroende på hur arbetsdagarna faller ut under månaden kan det också uppstå plus- eller minussaldo i slutet av månaden trots att du arbetat enligt ditt schema för koncentrerad deltid. Det beror på att normalarbetstiden beräknas som aktuell procentandel av tiden för heltid varje månad. En sådan differens vid månadsskiftet jämnas ut under efterföljande månad(er) beroende på hur många vardagar det är i respektive månad och vilka vardagar du har som arbetsdagar.</t>
  </si>
  <si>
    <t>Kolumner för egen tidsregistrering</t>
  </si>
  <si>
    <t>I kolumnerna P-T kan du notera timmar med egen indelning. Respektive kolumn summeras per månad och på rad 6 kan du ange en rubrik. Noteringarna i dessa kolumner påverkar inte flexsaldot men kan användas för t.ex. en enklare form av tidredovisning.</t>
  </si>
  <si>
    <t>Exempel på hur du fyller i blanketten</t>
  </si>
  <si>
    <t>Om inget annat anges sätts lunchen till 30 minuter. Om någon annan tid ska anges skriver du in den manuellt. Har du inte haft någon lunch alls raderar du innehållet helt - det går inte att skriva värdet noll (0).</t>
  </si>
  <si>
    <t>Kommer och går under dagen</t>
  </si>
  <si>
    <t>Om du har ett uppehåll utöver lunchen anger du detta som "Avvikelse från dagregistreringen".
Exempel: du börjar kl 8, har 30 minuter lunch och sedan ytterligare en timmes uppehåll mellan 15 och 16 innan du går hem kl 17:30. Skriv då 8:00 som "Börjar" och 17:30 som "Slutar". Lunchen anges som 30 minuter och sedan skriver du som "Avvikelse från dagregistreringen" fr.o.m 15:00 t.o.m. 16:00 samt ett minus i kolumn L. Som "Avvik tim" noteras då -1:00 timme och totalt för dagen räknas 8 timmar (9 tim i kolumn D och -1 tim i kolumn M).</t>
  </si>
  <si>
    <t>Jobbar ytterligare en stund utanför vanlig arbetstid</t>
  </si>
  <si>
    <t>Om du till exempel jobbar en stund hemma på kvällen anges det som "Avvikelse från dagregistreringen". Skriv först tiderna för det vanliga arbetspasset under "Närvarotid". Den extra tiden på kvällen anges som avvikelse (fr.o.m - t.o.m.) samt ett plustecken i kolumn L. Tiden läggs då till ditt saldo för dagen.</t>
  </si>
  <si>
    <t>Hur gör jag med kompledighet?</t>
  </si>
  <si>
    <t>Om du är kompledig (alltså tar ut över- eller mertid i ledighet) en dag eller del av dag anges detta om 'plustid' under "Avvikelse från dagregistreringen". Skriv klockslag så det motsvarar det antal timmar som du tar ut.</t>
  </si>
  <si>
    <t>Hur gör jag med flexledighet?</t>
  </si>
  <si>
    <t>Om du tar ut ledighet som ska räknas av från ditt flexsaldo behöver du inte ange några tider för detta. Däremot kan det vara lämpligt att skriva exempelvis "Flexledig" i kommentarkolumnen.</t>
  </si>
  <si>
    <t>Hur gör jag om tjänstgöringsgraden förändras?</t>
  </si>
  <si>
    <t>På fliken Översikt anges en tjänstgöringsgrad som normalt används för hela året. Om din tjänstgöringsgrad förändras under året skriver du på respektive månadsflik in aktuell tjänstgöringsgrad (ruta B4). Referenstid och övriga beräkningar sker då utifrån denna procentsats.
Blanketten räknar med samma procentsats för hela månaden. Om du byter tjänstgöringsgrad någon gång under en månad måste därför korrigering ske manuellt. Antingen registrerar du plus- eller minusavvikelse dag för dag eller också kan du i rutan "Ev korrigering" ange det antal timmar som den beräknade referenstiden ska korrigeras med.</t>
  </si>
  <si>
    <t>Flex 2026</t>
  </si>
  <si>
    <t>Håkan Stensby</t>
  </si>
  <si>
    <t>Personnummer</t>
  </si>
  <si>
    <t>19770217-6418</t>
  </si>
  <si>
    <t>Ingående flex för året</t>
  </si>
  <si>
    <t xml:space="preserve">   (Anges i decimaler med kommatecken!)</t>
  </si>
  <si>
    <t>Tjänstgöringsgrad</t>
  </si>
  <si>
    <t>Ref tid</t>
  </si>
  <si>
    <t>Ack saldo</t>
  </si>
  <si>
    <t>Just.</t>
  </si>
  <si>
    <t>Arbetstidsförkortning m.m.</t>
  </si>
  <si>
    <t xml:space="preserve"> </t>
  </si>
  <si>
    <t>Version 4.6 © LiU 2025-12-03</t>
  </si>
  <si>
    <t>Endast för blankettadministratören • här anges referenstider för heltidsarbetande</t>
  </si>
  <si>
    <t>Arb dgr</t>
  </si>
  <si>
    <t>Förkortning</t>
  </si>
  <si>
    <t>Klämdag 2/1, 8 tim. Klämdag 5/1, 8 tim</t>
  </si>
  <si>
    <t>Långfredagen 3/4, 8 tim. Annandag påsk 6/4, 8 tim</t>
  </si>
  <si>
    <t>Första maj 1/5, 8 tim. Kristi himmelsfärdsdag 14/5, 8 tim. Klämdag 15/5, 8 tim</t>
  </si>
  <si>
    <t>Midsommarafton 19/6, 8 tim</t>
  </si>
  <si>
    <t>Julafton 24/12, 8 tim. Juldagen 25/12, 8 tim. Nyårsafton 31/12, 8 tim</t>
  </si>
  <si>
    <t>Nyårsdagen</t>
  </si>
  <si>
    <t>Klämdag!</t>
  </si>
  <si>
    <t>Trettondedag jul</t>
  </si>
  <si>
    <t>Långfredagen</t>
  </si>
  <si>
    <t>Påskdagen</t>
  </si>
  <si>
    <t>Annandag påsk</t>
  </si>
  <si>
    <t>Första maj</t>
  </si>
  <si>
    <t>Kristi himmelsfärdsdag</t>
  </si>
  <si>
    <t>Pingstdagen</t>
  </si>
  <si>
    <t>Nationaldagen</t>
  </si>
  <si>
    <t>Midsommarafton</t>
  </si>
  <si>
    <t>Midsommardagen</t>
  </si>
  <si>
    <t>Alla helgons dag</t>
  </si>
  <si>
    <t>Julafton</t>
  </si>
  <si>
    <t>Juldagen</t>
  </si>
  <si>
    <t>Annandag jul</t>
  </si>
  <si>
    <t>Nyårsafton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</si>
</sst>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ddd&quot; &quot;d"/>
    <numFmt numFmtId="165" formatCode="hh:mm;;"/>
    <numFmt numFmtId="166" formatCode="#,##0.00&quot;  &quot;;\-#,##0.00&quot;  &quot;;&quot;-&quot;"/>
    <numFmt numFmtId="167" formatCode="#,##0.00;\-#,##0.00;&quot;-&quot;"/>
    <numFmt numFmtId="168" formatCode="hh:mm;\-hh:mm;"/>
    <numFmt numFmtId="169" formatCode="hh:mm;@"/>
    <numFmt numFmtId="170" formatCode="mmmm\ yyyy"/>
    <numFmt numFmtId="171" formatCode="#,##0;\-#,##0;&quot;-&quot;"/>
    <numFmt numFmtId="172" formatCode="######\-####"/>
  </numFmts>
  <fonts count="27" x14ac:knownFonts="1">
    <font>
      <sz val="10"/>
      <name val="Geneva"/>
    </font>
    <font>
      <sz val="11"/>
      <color theme="1"/>
      <name val="Calibri"/>
      <family val="2"/>
      <scheme val="minor"/>
    </font>
    <font>
      <sz val="10"/>
      <name val="Arial"/>
      <family val="2"/>
    </font>
    <font>
      <b/>
      <sz val="11"/>
      <name val="Calibri"/>
      <family val="2"/>
      <scheme val="minor"/>
    </font>
    <font>
      <sz val="11"/>
      <name val="Calibri"/>
      <family val="2"/>
      <scheme val="minor"/>
    </font>
    <font>
      <sz val="11"/>
      <color theme="0"/>
      <name val="Calibri"/>
      <family val="2"/>
      <scheme val="minor"/>
    </font>
    <font>
      <b/>
      <sz val="10"/>
      <name val="Calibri"/>
      <family val="2"/>
      <scheme val="minor"/>
    </font>
    <font>
      <sz val="8"/>
      <name val="Calibri"/>
      <family val="2"/>
      <scheme val="minor"/>
    </font>
    <font>
      <sz val="10"/>
      <name val="Calibri"/>
      <family val="2"/>
      <scheme val="minor"/>
    </font>
    <font>
      <i/>
      <sz val="10"/>
      <name val="Calibri"/>
      <family val="2"/>
      <scheme val="minor"/>
    </font>
    <font>
      <sz val="11"/>
      <color rgb="FF437BBE"/>
      <name val="Calibri"/>
      <family val="2"/>
      <scheme val="minor"/>
    </font>
    <font>
      <sz val="11"/>
      <color rgb="FF457BAD"/>
      <name val="Calibri"/>
      <family val="2"/>
      <scheme val="minor"/>
    </font>
    <font>
      <b/>
      <sz val="36"/>
      <name val="Calibri"/>
      <family val="2"/>
      <scheme val="minor"/>
    </font>
    <font>
      <b/>
      <i/>
      <sz val="10"/>
      <name val="Calibri"/>
      <family val="2"/>
      <scheme val="minor"/>
    </font>
    <font>
      <b/>
      <sz val="12"/>
      <name val="Calibri"/>
      <family val="2"/>
      <scheme val="minor"/>
    </font>
    <font>
      <b/>
      <sz val="10"/>
      <color rgb="FFFF0000"/>
      <name val="Calibri"/>
      <family val="2"/>
      <scheme val="minor"/>
    </font>
    <font>
      <b/>
      <sz val="11"/>
      <color rgb="FFFA7D00"/>
      <name val="Calibri"/>
      <family val="2"/>
      <scheme val="minor"/>
    </font>
    <font>
      <b/>
      <sz val="11"/>
      <color theme="0"/>
      <name val="Calibri"/>
      <family val="2"/>
      <scheme val="minor"/>
    </font>
    <font>
      <b/>
      <sz val="10"/>
      <color theme="0"/>
      <name val="Calibri"/>
      <family val="2"/>
      <scheme val="minor"/>
    </font>
    <font>
      <sz val="10"/>
      <color theme="0"/>
      <name val="Calibri"/>
      <family val="2"/>
      <scheme val="minor"/>
    </font>
    <font>
      <b/>
      <sz val="11"/>
      <color theme="1"/>
      <name val="Calibri"/>
      <family val="2"/>
      <scheme val="minor"/>
    </font>
    <font>
      <b/>
      <sz val="36"/>
      <color theme="0"/>
      <name val="Calibri"/>
      <family val="2"/>
      <scheme val="minor"/>
    </font>
    <font>
      <b/>
      <sz val="11"/>
      <color indexed="9"/>
      <name val="Calibri"/>
      <family val="2"/>
      <scheme val="minor"/>
    </font>
    <font>
      <sz val="11"/>
      <color indexed="9"/>
      <name val="Calibri"/>
      <family val="2"/>
      <scheme val="minor"/>
    </font>
    <font>
      <sz val="11"/>
      <color rgb="FFFF0000"/>
      <name val="Calibri"/>
      <family val="2"/>
      <scheme val="minor"/>
    </font>
    <font>
      <b/>
      <sz val="11"/>
      <color rgb="FFFF0000"/>
      <name val="Calibri"/>
      <family val="2"/>
      <scheme val="minor"/>
    </font>
    <font>
      <sz val="11"/>
      <name val="Calibri"/>
      <family val="2"/>
    </font>
  </fonts>
  <fills count="11">
    <fill>
      <patternFill patternType="none"/>
    </fill>
    <fill>
      <patternFill patternType="gray125"/>
    </fill>
    <fill>
      <patternFill patternType="solid">
        <fgColor indexed="47"/>
        <bgColor indexed="64"/>
      </patternFill>
    </fill>
    <fill>
      <patternFill patternType="solid">
        <fgColor theme="0"/>
        <bgColor indexed="64"/>
      </patternFill>
    </fill>
    <fill>
      <patternFill patternType="solid">
        <fgColor rgb="FFFDF89E"/>
        <bgColor indexed="64"/>
      </patternFill>
    </fill>
    <fill>
      <patternFill patternType="solid">
        <fgColor rgb="FFFEFEDC"/>
        <bgColor indexed="64"/>
      </patternFill>
    </fill>
    <fill>
      <patternFill patternType="solid">
        <fgColor theme="0" tint="-0.499984740745262"/>
        <bgColor indexed="64"/>
      </patternFill>
    </fill>
    <fill>
      <patternFill patternType="solid">
        <fgColor rgb="FF0099C6"/>
        <bgColor indexed="64"/>
      </patternFill>
    </fill>
    <fill>
      <patternFill patternType="solid">
        <fgColor rgb="FF00B9E7"/>
        <bgColor indexed="64"/>
      </patternFill>
    </fill>
    <fill>
      <patternFill patternType="solid">
        <fgColor rgb="FFB1E1F3"/>
        <bgColor indexed="64"/>
      </patternFill>
    </fill>
    <fill>
      <patternFill patternType="solid">
        <fgColor rgb="FFFFFF00"/>
        <bgColor indexed="64"/>
      </patternFill>
    </fill>
  </fills>
  <borders count="20">
    <border>
      <left/>
      <right/>
      <top/>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hair">
        <color indexed="64"/>
      </left>
      <right style="hair">
        <color indexed="64"/>
      </right>
      <top style="hair">
        <color indexed="64"/>
      </top>
      <bottom/>
      <diagonal/>
    </border>
    <border>
      <left style="hair">
        <color indexed="64"/>
      </left>
      <right style="hair">
        <color indexed="64"/>
      </right>
      <top style="thin">
        <color indexed="64"/>
      </top>
      <bottom style="hair">
        <color indexed="64"/>
      </bottom>
      <diagonal/>
    </border>
    <border>
      <left style="thin">
        <color rgb="FF7F7F7F"/>
      </left>
      <right style="thin">
        <color rgb="FF7F7F7F"/>
      </right>
      <top style="thin">
        <color rgb="FF7F7F7F"/>
      </top>
      <bottom style="thin">
        <color rgb="FF7F7F7F"/>
      </bottom>
      <diagonal/>
    </border>
    <border>
      <left/>
      <right style="hair">
        <color indexed="64"/>
      </right>
      <top/>
      <bottom style="hair">
        <color indexed="64"/>
      </bottom>
      <diagonal/>
    </border>
    <border>
      <left/>
      <right/>
      <top style="hair">
        <color indexed="64"/>
      </top>
      <bottom/>
      <diagonal/>
    </border>
    <border>
      <left/>
      <right style="hair">
        <color indexed="64"/>
      </right>
      <top style="hair">
        <color indexed="64"/>
      </top>
      <bottom/>
      <diagonal/>
    </border>
    <border>
      <left/>
      <right/>
      <top style="hair">
        <color indexed="64"/>
      </top>
      <bottom style="hair">
        <color indexed="64"/>
      </bottom>
      <diagonal/>
    </border>
    <border>
      <left/>
      <right style="hair">
        <color indexed="64"/>
      </right>
      <top style="hair">
        <color indexed="64"/>
      </top>
      <bottom style="hair">
        <color indexed="64"/>
      </bottom>
      <diagonal/>
    </border>
  </borders>
  <cellStyleXfs count="5">
    <xf numFmtId="0" fontId="0" fillId="0" borderId="0"/>
    <xf numFmtId="0" fontId="2" fillId="0" borderId="0"/>
    <xf numFmtId="166" fontId="4" fillId="4" borderId="1">
      <alignment horizontal="right"/>
    </xf>
    <xf numFmtId="0" fontId="16" fillId="5" borderId="14"/>
    <xf numFmtId="0" fontId="1" fillId="0" borderId="0"/>
  </cellStyleXfs>
  <cellXfs count="170">
    <xf numFmtId="0" fontId="0" fillId="0" borderId="0" xfId="0"/>
    <xf numFmtId="0" fontId="4" fillId="0" borderId="0" xfId="0" applyFont="1"/>
    <xf numFmtId="164" fontId="4" fillId="0" borderId="1" xfId="0" applyNumberFormat="1" applyFont="1" applyBorder="1" applyAlignment="1">
      <alignment horizontal="left"/>
    </xf>
    <xf numFmtId="20" fontId="4" fillId="0" borderId="1" xfId="0" applyNumberFormat="1" applyFont="1" applyBorder="1" applyAlignment="1" applyProtection="1">
      <alignment horizontal="left"/>
      <protection locked="0"/>
    </xf>
    <xf numFmtId="165" fontId="4" fillId="0" borderId="1" xfId="0" applyNumberFormat="1" applyFont="1" applyBorder="1" applyAlignment="1">
      <alignment horizontal="left"/>
    </xf>
    <xf numFmtId="166" fontId="4" fillId="0" borderId="1" xfId="0" applyNumberFormat="1" applyFont="1" applyBorder="1" applyAlignment="1">
      <alignment horizontal="right"/>
    </xf>
    <xf numFmtId="167" fontId="4" fillId="0" borderId="1" xfId="0" applyNumberFormat="1" applyFont="1" applyBorder="1" applyAlignment="1" applyProtection="1">
      <alignment horizontal="center"/>
      <protection locked="0"/>
    </xf>
    <xf numFmtId="168" fontId="4" fillId="0" borderId="3" xfId="0" applyNumberFormat="1" applyFont="1" applyBorder="1" applyAlignment="1">
      <alignment horizontal="left"/>
    </xf>
    <xf numFmtId="164" fontId="4" fillId="0" borderId="2" xfId="0" applyNumberFormat="1" applyFont="1" applyBorder="1" applyAlignment="1">
      <alignment horizontal="left"/>
    </xf>
    <xf numFmtId="20" fontId="4" fillId="0" borderId="2" xfId="0" applyNumberFormat="1" applyFont="1" applyBorder="1" applyAlignment="1" applyProtection="1">
      <alignment horizontal="left"/>
      <protection locked="0"/>
    </xf>
    <xf numFmtId="167" fontId="4" fillId="0" borderId="2" xfId="0" applyNumberFormat="1" applyFont="1" applyBorder="1" applyAlignment="1" applyProtection="1">
      <alignment horizontal="center"/>
      <protection locked="0"/>
    </xf>
    <xf numFmtId="20" fontId="4" fillId="0" borderId="0" xfId="0" applyNumberFormat="1" applyFont="1"/>
    <xf numFmtId="164" fontId="4" fillId="0" borderId="0" xfId="0" applyNumberFormat="1" applyFont="1" applyAlignment="1">
      <alignment horizontal="left"/>
    </xf>
    <xf numFmtId="0" fontId="4" fillId="0" borderId="0" xfId="0" applyFont="1" applyAlignment="1">
      <alignment horizontal="left"/>
    </xf>
    <xf numFmtId="0" fontId="4" fillId="0" borderId="0" xfId="0" applyFont="1" applyAlignment="1">
      <alignment horizontal="right"/>
    </xf>
    <xf numFmtId="0" fontId="8" fillId="0" borderId="0" xfId="0" applyFont="1"/>
    <xf numFmtId="0" fontId="8" fillId="3" borderId="0" xfId="0" applyFont="1" applyFill="1"/>
    <xf numFmtId="168" fontId="4" fillId="0" borderId="1" xfId="0" applyNumberFormat="1" applyFont="1" applyBorder="1" applyAlignment="1">
      <alignment horizontal="left"/>
    </xf>
    <xf numFmtId="4" fontId="4" fillId="0" borderId="0" xfId="0" applyNumberFormat="1" applyFont="1"/>
    <xf numFmtId="164" fontId="10" fillId="0" borderId="2" xfId="0" applyNumberFormat="1" applyFont="1" applyBorder="1" applyAlignment="1">
      <alignment horizontal="left"/>
    </xf>
    <xf numFmtId="169" fontId="4" fillId="0" borderId="0" xfId="0" applyNumberFormat="1" applyFont="1"/>
    <xf numFmtId="0" fontId="11" fillId="0" borderId="0" xfId="0" applyFont="1" applyAlignment="1">
      <alignment horizontal="left"/>
    </xf>
    <xf numFmtId="0" fontId="7" fillId="0" borderId="0" xfId="0" applyFont="1"/>
    <xf numFmtId="14" fontId="8" fillId="0" borderId="0" xfId="0" applyNumberFormat="1" applyFont="1"/>
    <xf numFmtId="0" fontId="6" fillId="0" borderId="0" xfId="0" applyFont="1"/>
    <xf numFmtId="0" fontId="6" fillId="0" borderId="0" xfId="0" applyFont="1" applyAlignment="1">
      <alignment horizontal="right"/>
    </xf>
    <xf numFmtId="170" fontId="8" fillId="0" borderId="0" xfId="0" applyNumberFormat="1" applyFont="1" applyAlignment="1">
      <alignment horizontal="left"/>
    </xf>
    <xf numFmtId="171" fontId="9" fillId="0" borderId="0" xfId="0" applyNumberFormat="1" applyFont="1"/>
    <xf numFmtId="0" fontId="9" fillId="0" borderId="0" xfId="0" applyFont="1"/>
    <xf numFmtId="11" fontId="8" fillId="0" borderId="0" xfId="0" applyNumberFormat="1" applyFont="1"/>
    <xf numFmtId="0" fontId="8" fillId="0" borderId="0" xfId="0" applyFont="1" applyAlignment="1">
      <alignment horizontal="right"/>
    </xf>
    <xf numFmtId="9" fontId="8" fillId="0" borderId="0" xfId="0" applyNumberFormat="1" applyFont="1" applyAlignment="1">
      <alignment horizontal="right"/>
    </xf>
    <xf numFmtId="167" fontId="8" fillId="0" borderId="0" xfId="0" applyNumberFormat="1" applyFont="1" applyAlignment="1">
      <alignment horizontal="right"/>
    </xf>
    <xf numFmtId="0" fontId="13" fillId="0" borderId="0" xfId="0" applyFont="1"/>
    <xf numFmtId="20" fontId="4" fillId="0" borderId="12" xfId="0" applyNumberFormat="1" applyFont="1" applyBorder="1" applyAlignment="1" applyProtection="1">
      <alignment horizontal="left"/>
      <protection locked="0"/>
    </xf>
    <xf numFmtId="167" fontId="4" fillId="0" borderId="12" xfId="0" applyNumberFormat="1" applyFont="1" applyBorder="1" applyAlignment="1" applyProtection="1">
      <alignment horizontal="center"/>
      <protection locked="0"/>
    </xf>
    <xf numFmtId="0" fontId="14" fillId="0" borderId="0" xfId="0" applyFont="1"/>
    <xf numFmtId="0" fontId="8" fillId="0" borderId="0" xfId="0" applyFont="1" applyAlignment="1">
      <alignment wrapText="1"/>
    </xf>
    <xf numFmtId="4" fontId="4" fillId="0" borderId="13" xfId="0" applyNumberFormat="1" applyFont="1" applyBorder="1"/>
    <xf numFmtId="4" fontId="4" fillId="0" borderId="2" xfId="0" applyNumberFormat="1" applyFont="1" applyBorder="1"/>
    <xf numFmtId="169" fontId="4" fillId="0" borderId="13" xfId="0" applyNumberFormat="1" applyFont="1" applyBorder="1" applyProtection="1">
      <protection locked="0"/>
    </xf>
    <xf numFmtId="169" fontId="4" fillId="0" borderId="2" xfId="0" applyNumberFormat="1" applyFont="1" applyBorder="1" applyProtection="1">
      <protection locked="0"/>
    </xf>
    <xf numFmtId="4" fontId="4" fillId="0" borderId="13" xfId="0" applyNumberFormat="1" applyFont="1" applyBorder="1" applyAlignment="1">
      <alignment horizontal="right"/>
    </xf>
    <xf numFmtId="167" fontId="4" fillId="0" borderId="13" xfId="0" applyNumberFormat="1" applyFont="1" applyBorder="1" applyProtection="1">
      <protection locked="0"/>
    </xf>
    <xf numFmtId="4" fontId="4" fillId="0" borderId="2" xfId="0" applyNumberFormat="1" applyFont="1" applyBorder="1" applyAlignment="1">
      <alignment horizontal="right"/>
    </xf>
    <xf numFmtId="167" fontId="4" fillId="0" borderId="2" xfId="0" applyNumberFormat="1" applyFont="1" applyBorder="1" applyProtection="1">
      <protection locked="0"/>
    </xf>
    <xf numFmtId="171" fontId="8" fillId="0" borderId="0" xfId="0" applyNumberFormat="1" applyFont="1"/>
    <xf numFmtId="0" fontId="4" fillId="3" borderId="5" xfId="0" applyFont="1" applyFill="1" applyBorder="1" applyAlignment="1">
      <alignment horizontal="right"/>
    </xf>
    <xf numFmtId="167" fontId="3" fillId="3" borderId="0" xfId="0" applyNumberFormat="1" applyFont="1" applyFill="1"/>
    <xf numFmtId="167" fontId="4" fillId="3" borderId="0" xfId="0" applyNumberFormat="1" applyFont="1" applyFill="1"/>
    <xf numFmtId="167" fontId="3" fillId="2" borderId="0" xfId="0" applyNumberFormat="1" applyFont="1" applyFill="1" applyProtection="1">
      <protection locked="0"/>
    </xf>
    <xf numFmtId="169" fontId="3" fillId="3" borderId="5" xfId="0" applyNumberFormat="1" applyFont="1" applyFill="1" applyBorder="1"/>
    <xf numFmtId="9" fontId="3" fillId="3" borderId="0" xfId="0" applyNumberFormat="1" applyFont="1" applyFill="1"/>
    <xf numFmtId="0" fontId="4" fillId="3" borderId="0" xfId="0" applyFont="1" applyFill="1" applyAlignment="1">
      <alignment horizontal="right"/>
    </xf>
    <xf numFmtId="0" fontId="4" fillId="0" borderId="0" xfId="0" applyFont="1" applyProtection="1">
      <protection locked="0"/>
    </xf>
    <xf numFmtId="20" fontId="4" fillId="0" borderId="0" xfId="0" applyNumberFormat="1" applyFont="1" applyProtection="1">
      <protection locked="0"/>
    </xf>
    <xf numFmtId="167" fontId="4" fillId="0" borderId="0" xfId="0" applyNumberFormat="1" applyFont="1" applyProtection="1">
      <protection locked="0"/>
    </xf>
    <xf numFmtId="167" fontId="4" fillId="0" borderId="5" xfId="0" applyNumberFormat="1" applyFont="1" applyBorder="1"/>
    <xf numFmtId="0" fontId="19" fillId="6" borderId="0" xfId="0" applyFont="1" applyFill="1"/>
    <xf numFmtId="0" fontId="8" fillId="0" borderId="0" xfId="0" applyFont="1" applyAlignment="1">
      <alignment vertical="top" wrapText="1"/>
    </xf>
    <xf numFmtId="167" fontId="3" fillId="3" borderId="5" xfId="0" applyNumberFormat="1" applyFont="1" applyFill="1" applyBorder="1"/>
    <xf numFmtId="170" fontId="12" fillId="7" borderId="0" xfId="0" applyNumberFormat="1" applyFont="1" applyFill="1" applyAlignment="1">
      <alignment horizontal="left"/>
    </xf>
    <xf numFmtId="0" fontId="8" fillId="7" borderId="0" xfId="0" applyFont="1" applyFill="1"/>
    <xf numFmtId="0" fontId="18" fillId="7" borderId="0" xfId="2" applyNumberFormat="1" applyFont="1" applyFill="1" applyBorder="1" applyAlignment="1"/>
    <xf numFmtId="0" fontId="18" fillId="7" borderId="0" xfId="2" applyNumberFormat="1" applyFont="1" applyFill="1" applyBorder="1">
      <alignment horizontal="right"/>
    </xf>
    <xf numFmtId="0" fontId="18" fillId="7" borderId="0" xfId="2" applyNumberFormat="1" applyFont="1" applyFill="1" applyBorder="1" applyAlignment="1">
      <alignment horizontal="left"/>
    </xf>
    <xf numFmtId="0" fontId="17" fillId="7" borderId="4" xfId="0" applyFont="1" applyFill="1" applyBorder="1"/>
    <xf numFmtId="170" fontId="17" fillId="7" borderId="7" xfId="0" applyNumberFormat="1" applyFont="1" applyFill="1" applyBorder="1" applyAlignment="1">
      <alignment horizontal="left"/>
    </xf>
    <xf numFmtId="171" fontId="17" fillId="7" borderId="7" xfId="0" applyNumberFormat="1" applyFont="1" applyFill="1" applyBorder="1"/>
    <xf numFmtId="171" fontId="17" fillId="7" borderId="9" xfId="0" applyNumberFormat="1" applyFont="1" applyFill="1" applyBorder="1"/>
    <xf numFmtId="171" fontId="17" fillId="7" borderId="0" xfId="0" applyNumberFormat="1" applyFont="1" applyFill="1"/>
    <xf numFmtId="171" fontId="17" fillId="7" borderId="0" xfId="0" applyNumberFormat="1" applyFont="1" applyFill="1" applyAlignment="1">
      <alignment horizontal="right"/>
    </xf>
    <xf numFmtId="171" fontId="17" fillId="7" borderId="8" xfId="0" applyNumberFormat="1" applyFont="1" applyFill="1" applyBorder="1"/>
    <xf numFmtId="171" fontId="17" fillId="7" borderId="10" xfId="0" applyNumberFormat="1" applyFont="1" applyFill="1" applyBorder="1" applyAlignment="1">
      <alignment horizontal="center"/>
    </xf>
    <xf numFmtId="171" fontId="17" fillId="7" borderId="10" xfId="0" applyNumberFormat="1" applyFont="1" applyFill="1" applyBorder="1" applyAlignment="1">
      <alignment horizontal="right"/>
    </xf>
    <xf numFmtId="171" fontId="17" fillId="7" borderId="11" xfId="0" applyNumberFormat="1" applyFont="1" applyFill="1" applyBorder="1"/>
    <xf numFmtId="167" fontId="17" fillId="7" borderId="5" xfId="0" applyNumberFormat="1" applyFont="1" applyFill="1" applyBorder="1"/>
    <xf numFmtId="20" fontId="17" fillId="7" borderId="5" xfId="2" applyNumberFormat="1" applyFont="1" applyFill="1" applyBorder="1" applyAlignment="1"/>
    <xf numFmtId="20" fontId="5" fillId="7" borderId="5" xfId="2" applyNumberFormat="1" applyFont="1" applyFill="1" applyBorder="1" applyAlignment="1"/>
    <xf numFmtId="0" fontId="5" fillId="7" borderId="5" xfId="2" applyNumberFormat="1" applyFont="1" applyFill="1" applyBorder="1" applyAlignment="1"/>
    <xf numFmtId="167" fontId="5" fillId="7" borderId="5" xfId="2" applyNumberFormat="1" applyFont="1" applyFill="1" applyBorder="1">
      <alignment horizontal="right"/>
    </xf>
    <xf numFmtId="0" fontId="5" fillId="7" borderId="6" xfId="2" applyNumberFormat="1" applyFont="1" applyFill="1" applyBorder="1" applyAlignment="1"/>
    <xf numFmtId="167" fontId="17" fillId="7" borderId="0" xfId="0" applyNumberFormat="1" applyFont="1" applyFill="1"/>
    <xf numFmtId="20" fontId="17" fillId="7" borderId="0" xfId="2" applyNumberFormat="1" applyFont="1" applyFill="1" applyBorder="1" applyAlignment="1"/>
    <xf numFmtId="20" fontId="5" fillId="7" borderId="0" xfId="2" applyNumberFormat="1" applyFont="1" applyFill="1" applyBorder="1" applyAlignment="1"/>
    <xf numFmtId="0" fontId="5" fillId="7" borderId="0" xfId="2" applyNumberFormat="1" applyFont="1" applyFill="1" applyBorder="1" applyAlignment="1"/>
    <xf numFmtId="167" fontId="17" fillId="7" borderId="0" xfId="2" applyNumberFormat="1" applyFont="1" applyFill="1" applyBorder="1" applyAlignment="1"/>
    <xf numFmtId="167" fontId="5" fillId="7" borderId="0" xfId="2" applyNumberFormat="1" applyFont="1" applyFill="1" applyBorder="1">
      <alignment horizontal="right"/>
    </xf>
    <xf numFmtId="0" fontId="5" fillId="7" borderId="8" xfId="2" applyNumberFormat="1" applyFont="1" applyFill="1" applyBorder="1" applyAlignment="1"/>
    <xf numFmtId="167" fontId="5" fillId="7" borderId="0" xfId="2" applyNumberFormat="1" applyFont="1" applyFill="1" applyBorder="1" applyAlignment="1"/>
    <xf numFmtId="0" fontId="17" fillId="7" borderId="0" xfId="2" applyNumberFormat="1" applyFont="1" applyFill="1" applyBorder="1" applyAlignment="1"/>
    <xf numFmtId="171" fontId="5" fillId="7" borderId="0" xfId="0" applyNumberFormat="1" applyFont="1" applyFill="1"/>
    <xf numFmtId="0" fontId="17" fillId="7" borderId="4" xfId="2" applyNumberFormat="1" applyFont="1" applyFill="1" applyBorder="1" applyAlignment="1"/>
    <xf numFmtId="170" fontId="17" fillId="7" borderId="7" xfId="2" applyNumberFormat="1" applyFont="1" applyFill="1" applyBorder="1" applyAlignment="1">
      <alignment horizontal="left"/>
    </xf>
    <xf numFmtId="170" fontId="17" fillId="7" borderId="9" xfId="2" applyNumberFormat="1" applyFont="1" applyFill="1" applyBorder="1" applyAlignment="1">
      <alignment horizontal="left"/>
    </xf>
    <xf numFmtId="170" fontId="17" fillId="7" borderId="0" xfId="2" applyNumberFormat="1" applyFont="1" applyFill="1" applyBorder="1" applyAlignment="1">
      <alignment horizontal="left"/>
    </xf>
    <xf numFmtId="4" fontId="17" fillId="7" borderId="0" xfId="2" applyNumberFormat="1" applyFont="1" applyFill="1" applyBorder="1">
      <alignment horizontal="right"/>
    </xf>
    <xf numFmtId="169" fontId="17" fillId="7" borderId="8" xfId="2" applyNumberFormat="1" applyFont="1" applyFill="1" applyBorder="1" applyAlignment="1"/>
    <xf numFmtId="171" fontId="17" fillId="7" borderId="10" xfId="2" applyNumberFormat="1" applyFont="1" applyFill="1" applyBorder="1" applyAlignment="1">
      <alignment horizontal="center"/>
    </xf>
    <xf numFmtId="0" fontId="17" fillId="7" borderId="10" xfId="2" applyNumberFormat="1" applyFont="1" applyFill="1" applyBorder="1" applyAlignment="1">
      <alignment horizontal="center"/>
    </xf>
    <xf numFmtId="20" fontId="17" fillId="7" borderId="10" xfId="2" applyNumberFormat="1" applyFont="1" applyFill="1" applyBorder="1" applyAlignment="1">
      <alignment horizontal="center"/>
    </xf>
    <xf numFmtId="0" fontId="17" fillId="7" borderId="10" xfId="2" quotePrefix="1" applyNumberFormat="1" applyFont="1" applyFill="1" applyBorder="1" applyAlignment="1">
      <alignment horizontal="center"/>
    </xf>
    <xf numFmtId="4" fontId="17" fillId="7" borderId="10" xfId="2" applyNumberFormat="1" applyFont="1" applyFill="1" applyBorder="1">
      <alignment horizontal="right"/>
    </xf>
    <xf numFmtId="169" fontId="17" fillId="7" borderId="11" xfId="2" applyNumberFormat="1" applyFont="1" applyFill="1" applyBorder="1" applyAlignment="1"/>
    <xf numFmtId="167" fontId="17" fillId="7" borderId="5" xfId="2" applyNumberFormat="1" applyFont="1" applyFill="1" applyBorder="1" applyAlignment="1"/>
    <xf numFmtId="4" fontId="5" fillId="7" borderId="5" xfId="2" applyNumberFormat="1" applyFont="1" applyFill="1" applyBorder="1" applyAlignment="1"/>
    <xf numFmtId="169" fontId="5" fillId="7" borderId="6" xfId="2" applyNumberFormat="1" applyFont="1" applyFill="1" applyBorder="1" applyAlignment="1"/>
    <xf numFmtId="4" fontId="5" fillId="7" borderId="0" xfId="2" applyNumberFormat="1" applyFont="1" applyFill="1" applyBorder="1" applyAlignment="1"/>
    <xf numFmtId="169" fontId="5" fillId="7" borderId="8" xfId="2" applyNumberFormat="1" applyFont="1" applyFill="1" applyBorder="1" applyAlignment="1"/>
    <xf numFmtId="169" fontId="5" fillId="7" borderId="0" xfId="2" applyNumberFormat="1" applyFont="1" applyFill="1" applyBorder="1" applyAlignment="1"/>
    <xf numFmtId="169" fontId="22" fillId="7" borderId="0" xfId="2" applyNumberFormat="1" applyFont="1" applyFill="1" applyBorder="1" applyAlignment="1"/>
    <xf numFmtId="169" fontId="23" fillId="7" borderId="0" xfId="2" applyNumberFormat="1" applyFont="1" applyFill="1" applyBorder="1" applyAlignment="1"/>
    <xf numFmtId="169" fontId="17" fillId="7" borderId="0" xfId="2" applyNumberFormat="1" applyFont="1" applyFill="1" applyBorder="1" applyAlignment="1"/>
    <xf numFmtId="11" fontId="20" fillId="9" borderId="0" xfId="2" applyNumberFormat="1" applyFont="1" applyFill="1" applyBorder="1" applyProtection="1">
      <alignment horizontal="right"/>
      <protection locked="0"/>
    </xf>
    <xf numFmtId="169" fontId="20" fillId="9" borderId="0" xfId="2" applyNumberFormat="1" applyFont="1" applyFill="1" applyBorder="1" applyProtection="1">
      <alignment horizontal="right"/>
      <protection locked="0"/>
    </xf>
    <xf numFmtId="167" fontId="17" fillId="8" borderId="5" xfId="0" applyNumberFormat="1" applyFont="1" applyFill="1" applyBorder="1"/>
    <xf numFmtId="167" fontId="17" fillId="8" borderId="0" xfId="0" applyNumberFormat="1" applyFont="1" applyFill="1"/>
    <xf numFmtId="167" fontId="17" fillId="8" borderId="5" xfId="2" applyNumberFormat="1" applyFont="1" applyFill="1" applyBorder="1" applyAlignment="1"/>
    <xf numFmtId="167" fontId="17" fillId="8" borderId="0" xfId="2" applyNumberFormat="1" applyFont="1" applyFill="1" applyBorder="1" applyAlignment="1"/>
    <xf numFmtId="0" fontId="15" fillId="0" borderId="0" xfId="0" applyFont="1"/>
    <xf numFmtId="0" fontId="24" fillId="0" borderId="0" xfId="0" applyFont="1"/>
    <xf numFmtId="20" fontId="24" fillId="0" borderId="0" xfId="0" applyNumberFormat="1" applyFont="1"/>
    <xf numFmtId="0" fontId="4" fillId="0" borderId="0" xfId="0" applyFont="1" applyProtection="1">
      <protection hidden="1"/>
    </xf>
    <xf numFmtId="14" fontId="4" fillId="0" borderId="0" xfId="0" applyNumberFormat="1" applyFont="1" applyProtection="1">
      <protection hidden="1"/>
    </xf>
    <xf numFmtId="4" fontId="4" fillId="0" borderId="0" xfId="0" applyNumberFormat="1" applyFont="1" applyProtection="1">
      <protection hidden="1"/>
    </xf>
    <xf numFmtId="0" fontId="3" fillId="0" borderId="0" xfId="0" applyFont="1" applyProtection="1">
      <protection hidden="1"/>
    </xf>
    <xf numFmtId="3" fontId="4" fillId="0" borderId="0" xfId="0" applyNumberFormat="1" applyFont="1" applyProtection="1">
      <protection hidden="1"/>
    </xf>
    <xf numFmtId="170" fontId="8" fillId="0" borderId="0" xfId="4" applyNumberFormat="1" applyFont="1" applyAlignment="1">
      <alignment horizontal="left"/>
    </xf>
    <xf numFmtId="171" fontId="9" fillId="0" borderId="0" xfId="4" applyNumberFormat="1" applyFont="1"/>
    <xf numFmtId="0" fontId="9" fillId="0" borderId="0" xfId="4" applyFont="1"/>
    <xf numFmtId="11" fontId="9" fillId="0" borderId="0" xfId="4" applyNumberFormat="1" applyFont="1"/>
    <xf numFmtId="167" fontId="17" fillId="7" borderId="0" xfId="0" applyNumberFormat="1" applyFont="1" applyFill="1" applyAlignment="1">
      <alignment horizontal="right"/>
    </xf>
    <xf numFmtId="0" fontId="8" fillId="0" borderId="0" xfId="0" quotePrefix="1" applyFont="1"/>
    <xf numFmtId="167" fontId="17" fillId="7" borderId="0" xfId="2" applyNumberFormat="1" applyFont="1" applyFill="1" applyBorder="1">
      <alignment horizontal="right"/>
    </xf>
    <xf numFmtId="0" fontId="19" fillId="10" borderId="6" xfId="2" applyNumberFormat="1" applyFont="1" applyFill="1" applyBorder="1" applyAlignment="1"/>
    <xf numFmtId="172" fontId="6" fillId="10" borderId="0" xfId="2" applyNumberFormat="1" applyFont="1" applyFill="1" applyBorder="1" applyAlignment="1"/>
    <xf numFmtId="172" fontId="6" fillId="10" borderId="0" xfId="2" applyNumberFormat="1" applyFont="1" applyFill="1" applyBorder="1" applyAlignment="1">
      <alignment horizontal="left"/>
    </xf>
    <xf numFmtId="0" fontId="19" fillId="10" borderId="8" xfId="2" applyNumberFormat="1" applyFont="1" applyFill="1" applyBorder="1" applyAlignment="1"/>
    <xf numFmtId="167" fontId="6" fillId="10" borderId="7" xfId="2" applyNumberFormat="1" applyFont="1" applyFill="1" applyBorder="1" applyAlignment="1" applyProtection="1">
      <alignment horizontal="left"/>
      <protection locked="0"/>
    </xf>
    <xf numFmtId="167" fontId="6" fillId="10" borderId="0" xfId="2" applyNumberFormat="1" applyFont="1" applyFill="1" applyBorder="1" applyAlignment="1">
      <alignment horizontal="left"/>
    </xf>
    <xf numFmtId="9" fontId="6" fillId="10" borderId="9" xfId="2" applyNumberFormat="1" applyFont="1" applyFill="1" applyBorder="1" applyAlignment="1" applyProtection="1">
      <alignment horizontal="left"/>
      <protection locked="0"/>
    </xf>
    <xf numFmtId="9" fontId="6" fillId="10" borderId="10" xfId="2" applyNumberFormat="1" applyFont="1" applyFill="1" applyBorder="1" applyAlignment="1">
      <alignment horizontal="left"/>
    </xf>
    <xf numFmtId="0" fontId="19" fillId="10" borderId="11" xfId="2" applyNumberFormat="1" applyFont="1" applyFill="1" applyBorder="1" applyAlignment="1"/>
    <xf numFmtId="167" fontId="25" fillId="10" borderId="0" xfId="2" applyNumberFormat="1" applyFont="1" applyFill="1" applyBorder="1" applyAlignment="1">
      <alignment horizontal="left"/>
    </xf>
    <xf numFmtId="20" fontId="26" fillId="0" borderId="2" xfId="0" applyNumberFormat="1" applyFont="1" applyBorder="1" applyAlignment="1" applyProtection="1">
      <alignment horizontal="left"/>
      <protection locked="0"/>
    </xf>
    <xf numFmtId="0" fontId="8" fillId="0" borderId="0" xfId="0" applyFont="1" applyAlignment="1">
      <alignment horizontal="left" vertical="top" wrapText="1"/>
    </xf>
    <xf numFmtId="167" fontId="4" fillId="0" borderId="2" xfId="0" applyNumberFormat="1" applyFont="1" applyBorder="1" applyAlignment="1" applyProtection="1">
      <alignment horizontal="left"/>
      <protection locked="0"/>
    </xf>
    <xf numFmtId="0" fontId="0" fillId="0" borderId="18" xfId="0" applyBorder="1" applyProtection="1">
      <protection locked="0"/>
    </xf>
    <xf numFmtId="0" fontId="0" fillId="0" borderId="19" xfId="0" applyBorder="1" applyProtection="1">
      <protection locked="0"/>
    </xf>
    <xf numFmtId="0" fontId="17" fillId="7" borderId="10" xfId="2" applyNumberFormat="1" applyFont="1" applyFill="1" applyBorder="1" applyAlignment="1">
      <alignment horizontal="left"/>
    </xf>
    <xf numFmtId="0" fontId="0" fillId="0" borderId="10" xfId="0" applyBorder="1"/>
    <xf numFmtId="170" fontId="3" fillId="3" borderId="5" xfId="0" applyNumberFormat="1" applyFont="1" applyFill="1" applyBorder="1" applyAlignment="1">
      <alignment horizontal="left"/>
    </xf>
    <xf numFmtId="0" fontId="0" fillId="0" borderId="5" xfId="0" applyBorder="1"/>
    <xf numFmtId="0" fontId="4" fillId="3" borderId="0" xfId="0" applyFont="1" applyFill="1" applyAlignment="1">
      <alignment horizontal="right"/>
    </xf>
    <xf numFmtId="0" fontId="4" fillId="0" borderId="0" xfId="0" applyFont="1" applyAlignment="1">
      <alignment horizontal="left"/>
    </xf>
    <xf numFmtId="170" fontId="3" fillId="3" borderId="0" xfId="0" applyNumberFormat="1" applyFont="1" applyFill="1" applyAlignment="1">
      <alignment horizontal="left"/>
    </xf>
    <xf numFmtId="167" fontId="4" fillId="0" borderId="1" xfId="0" applyNumberFormat="1" applyFont="1" applyBorder="1" applyAlignment="1" applyProtection="1">
      <alignment horizontal="left"/>
      <protection locked="0"/>
    </xf>
    <xf numFmtId="0" fontId="0" fillId="0" borderId="3" xfId="0" applyBorder="1" applyProtection="1">
      <protection locked="0"/>
    </xf>
    <xf numFmtId="0" fontId="0" fillId="0" borderId="15" xfId="0" applyBorder="1" applyProtection="1">
      <protection locked="0"/>
    </xf>
    <xf numFmtId="9" fontId="3" fillId="3" borderId="0" xfId="0" applyNumberFormat="1" applyFont="1" applyFill="1" applyAlignment="1" applyProtection="1">
      <alignment horizontal="left"/>
      <protection locked="0"/>
    </xf>
    <xf numFmtId="0" fontId="0" fillId="0" borderId="0" xfId="0" applyProtection="1">
      <protection locked="0"/>
    </xf>
    <xf numFmtId="172" fontId="3" fillId="3" borderId="0" xfId="0" applyNumberFormat="1" applyFont="1" applyFill="1" applyAlignment="1">
      <alignment horizontal="left"/>
    </xf>
    <xf numFmtId="0" fontId="21" fillId="7" borderId="0" xfId="0" applyFont="1" applyFill="1" applyAlignment="1">
      <alignment vertical="center"/>
    </xf>
    <xf numFmtId="0" fontId="8" fillId="0" borderId="0" xfId="0" applyFont="1"/>
    <xf numFmtId="172" fontId="6" fillId="10" borderId="7" xfId="2" applyNumberFormat="1" applyFont="1" applyFill="1" applyBorder="1" applyAlignment="1" applyProtection="1">
      <alignment horizontal="left"/>
      <protection locked="0"/>
    </xf>
    <xf numFmtId="0" fontId="6" fillId="10" borderId="4" xfId="2" applyNumberFormat="1" applyFont="1" applyFill="1" applyBorder="1" applyAlignment="1" applyProtection="1">
      <alignment horizontal="left"/>
      <protection locked="0"/>
    </xf>
    <xf numFmtId="0" fontId="0" fillId="0" borderId="5" xfId="0" applyBorder="1" applyProtection="1">
      <protection locked="0"/>
    </xf>
    <xf numFmtId="167" fontId="4" fillId="0" borderId="12" xfId="0" applyNumberFormat="1" applyFont="1" applyBorder="1" applyAlignment="1" applyProtection="1">
      <alignment horizontal="left"/>
      <protection locked="0"/>
    </xf>
    <xf numFmtId="0" fontId="0" fillId="0" borderId="16" xfId="0" applyBorder="1" applyProtection="1">
      <protection locked="0"/>
    </xf>
    <xf numFmtId="0" fontId="0" fillId="0" borderId="17" xfId="0" applyBorder="1" applyProtection="1">
      <protection locked="0"/>
    </xf>
  </cellXfs>
  <cellStyles count="5">
    <cellStyle name="2017-gul" xfId="2" xr:uid="{00000000-0005-0000-0000-000002000000}"/>
    <cellStyle name="gul-förkortad" xfId="3" xr:uid="{00000000-0005-0000-0000-000003000000}"/>
    <cellStyle name="Normal" xfId="0" builtinId="0"/>
    <cellStyle name="Normal 2" xfId="1" xr:uid="{00000000-0005-0000-0000-000001000000}"/>
    <cellStyle name="Normal 3" xfId="4" xr:uid="{00000000-0005-0000-0000-000004000000}"/>
  </cellStyles>
  <dxfs count="41">
    <dxf>
      <font>
        <condense val="0"/>
        <extend val="0"/>
        <color indexed="10"/>
      </font>
    </dxf>
    <dxf>
      <font>
        <condense val="0"/>
        <extend val="0"/>
        <color indexed="17"/>
      </font>
    </dxf>
    <dxf>
      <font>
        <i/>
        <condense val="0"/>
        <extend val="0"/>
      </font>
      <fill>
        <patternFill>
          <bgColor indexed="47"/>
        </patternFill>
      </fill>
    </dxf>
    <dxf>
      <font>
        <condense val="0"/>
        <extend val="0"/>
        <color indexed="10"/>
      </font>
    </dxf>
    <dxf>
      <font>
        <condense val="0"/>
        <extend val="0"/>
        <color indexed="17"/>
      </font>
    </dxf>
    <dxf>
      <font>
        <i/>
        <condense val="0"/>
        <extend val="0"/>
      </font>
      <fill>
        <patternFill>
          <bgColor indexed="47"/>
        </patternFill>
      </fill>
    </dxf>
    <dxf>
      <font>
        <condense val="0"/>
        <extend val="0"/>
        <color indexed="10"/>
      </font>
    </dxf>
    <dxf>
      <font>
        <condense val="0"/>
        <extend val="0"/>
        <color indexed="17"/>
      </font>
    </dxf>
    <dxf>
      <font>
        <i/>
        <condense val="0"/>
        <extend val="0"/>
      </font>
      <fill>
        <patternFill>
          <bgColor indexed="47"/>
        </patternFill>
      </fill>
    </dxf>
    <dxf>
      <font>
        <condense val="0"/>
        <extend val="0"/>
        <color indexed="10"/>
      </font>
    </dxf>
    <dxf>
      <font>
        <condense val="0"/>
        <extend val="0"/>
        <color indexed="17"/>
      </font>
    </dxf>
    <dxf>
      <font>
        <i/>
        <condense val="0"/>
        <extend val="0"/>
      </font>
      <fill>
        <patternFill>
          <bgColor indexed="47"/>
        </patternFill>
      </fill>
    </dxf>
    <dxf>
      <font>
        <condense val="0"/>
        <extend val="0"/>
        <color indexed="10"/>
      </font>
    </dxf>
    <dxf>
      <font>
        <condense val="0"/>
        <extend val="0"/>
        <color indexed="17"/>
      </font>
    </dxf>
    <dxf>
      <font>
        <i/>
        <condense val="0"/>
        <extend val="0"/>
      </font>
      <fill>
        <patternFill>
          <bgColor indexed="47"/>
        </patternFill>
      </fill>
    </dxf>
    <dxf>
      <font>
        <condense val="0"/>
        <extend val="0"/>
        <color indexed="10"/>
      </font>
    </dxf>
    <dxf>
      <font>
        <condense val="0"/>
        <extend val="0"/>
        <color indexed="17"/>
      </font>
    </dxf>
    <dxf>
      <font>
        <i/>
        <condense val="0"/>
        <extend val="0"/>
      </font>
      <fill>
        <patternFill>
          <bgColor indexed="47"/>
        </patternFill>
      </fill>
    </dxf>
    <dxf>
      <font>
        <condense val="0"/>
        <extend val="0"/>
        <color indexed="10"/>
      </font>
    </dxf>
    <dxf>
      <font>
        <condense val="0"/>
        <extend val="0"/>
        <color indexed="17"/>
      </font>
    </dxf>
    <dxf>
      <font>
        <i/>
        <condense val="0"/>
        <extend val="0"/>
      </font>
      <fill>
        <patternFill>
          <bgColor indexed="47"/>
        </patternFill>
      </fill>
    </dxf>
    <dxf>
      <font>
        <condense val="0"/>
        <extend val="0"/>
        <color indexed="10"/>
      </font>
    </dxf>
    <dxf>
      <font>
        <condense val="0"/>
        <extend val="0"/>
        <color indexed="17"/>
      </font>
    </dxf>
    <dxf>
      <font>
        <i/>
        <condense val="0"/>
        <extend val="0"/>
      </font>
      <fill>
        <patternFill>
          <bgColor indexed="47"/>
        </patternFill>
      </fill>
    </dxf>
    <dxf>
      <font>
        <condense val="0"/>
        <extend val="0"/>
        <color indexed="10"/>
      </font>
    </dxf>
    <dxf>
      <font>
        <condense val="0"/>
        <extend val="0"/>
        <color indexed="17"/>
      </font>
    </dxf>
    <dxf>
      <font>
        <i/>
        <condense val="0"/>
        <extend val="0"/>
      </font>
      <fill>
        <patternFill>
          <bgColor indexed="47"/>
        </patternFill>
      </fill>
    </dxf>
    <dxf>
      <font>
        <condense val="0"/>
        <extend val="0"/>
        <color indexed="10"/>
      </font>
    </dxf>
    <dxf>
      <font>
        <condense val="0"/>
        <extend val="0"/>
        <color indexed="17"/>
      </font>
    </dxf>
    <dxf>
      <font>
        <i/>
        <condense val="0"/>
        <extend val="0"/>
      </font>
      <fill>
        <patternFill>
          <bgColor indexed="47"/>
        </patternFill>
      </fill>
    </dxf>
    <dxf>
      <font>
        <condense val="0"/>
        <extend val="0"/>
        <color indexed="10"/>
      </font>
    </dxf>
    <dxf>
      <font>
        <condense val="0"/>
        <extend val="0"/>
        <color indexed="17"/>
      </font>
    </dxf>
    <dxf>
      <font>
        <i/>
        <condense val="0"/>
        <extend val="0"/>
      </font>
      <fill>
        <patternFill>
          <bgColor indexed="47"/>
        </patternFill>
      </fill>
    </dxf>
    <dxf>
      <font>
        <condense val="0"/>
        <extend val="0"/>
        <color indexed="10"/>
      </font>
    </dxf>
    <dxf>
      <font>
        <condense val="0"/>
        <extend val="0"/>
        <color indexed="17"/>
      </font>
    </dxf>
    <dxf>
      <font>
        <i/>
        <condense val="0"/>
        <extend val="0"/>
      </font>
      <fill>
        <patternFill>
          <bgColor indexed="47"/>
        </patternFill>
      </fill>
    </dxf>
    <dxf>
      <font>
        <b/>
        <condense val="0"/>
        <extend val="0"/>
        <color indexed="50"/>
      </font>
      <fill>
        <patternFill>
          <bgColor indexed="65"/>
        </patternFill>
      </fill>
    </dxf>
    <dxf>
      <font>
        <b/>
        <condense val="0"/>
        <extend val="0"/>
        <color indexed="14"/>
      </font>
      <fill>
        <patternFill>
          <bgColor indexed="65"/>
        </patternFill>
      </fill>
    </dxf>
    <dxf>
      <font>
        <b/>
        <condense val="0"/>
        <extend val="0"/>
        <color indexed="10"/>
      </font>
      <fill>
        <patternFill>
          <bgColor indexed="65"/>
        </patternFill>
      </fill>
    </dxf>
    <dxf>
      <font>
        <b/>
        <condense val="0"/>
        <extend val="0"/>
        <color indexed="50"/>
      </font>
    </dxf>
    <dxf>
      <font>
        <b/>
        <condense val="0"/>
        <extend val="0"/>
        <color indexed="10"/>
      </font>
      <fill>
        <patternFill>
          <bgColor indexed="6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57151</xdr:colOff>
      <xdr:row>0</xdr:row>
      <xdr:rowOff>0</xdr:rowOff>
    </xdr:from>
    <xdr:to>
      <xdr:col>2</xdr:col>
      <xdr:colOff>282468</xdr:colOff>
      <xdr:row>1</xdr:row>
      <xdr:rowOff>76200</xdr:rowOff>
    </xdr:to>
    <xdr:pic>
      <xdr:nvPicPr>
        <xdr:cNvPr id="9" name="Bildobjekt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cstate="print"/>
        <a:stretch>
          <a:fillRect/>
        </a:stretch>
      </xdr:blipFill>
      <xdr:spPr>
        <a:xfrm>
          <a:off x="57151" y="0"/>
          <a:ext cx="2238902" cy="771525"/>
        </a:xfrm>
        <a:prstGeom prst="rect">
          <a:avLst/>
        </a:prstGeom>
        <a:ln>
          <a:prstDash val="solid"/>
        </a:ln>
      </xdr:spPr>
    </xdr:pic>
    <xdr:clientData/>
  </xdr:twoCellAnchor>
  <xdr:twoCellAnchor editAs="oneCell">
    <xdr:from>
      <xdr:col>6</xdr:col>
      <xdr:colOff>2028824</xdr:colOff>
      <xdr:row>0</xdr:row>
      <xdr:rowOff>47625</xdr:rowOff>
    </xdr:from>
    <xdr:to>
      <xdr:col>6</xdr:col>
      <xdr:colOff>3182619</xdr:colOff>
      <xdr:row>5</xdr:row>
      <xdr:rowOff>104914</xdr:rowOff>
    </xdr:to>
    <xdr:pic>
      <xdr:nvPicPr>
        <xdr:cNvPr id="5" name="Bildobjekt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2"/>
        <a:stretch>
          <a:fillRect/>
        </a:stretch>
      </xdr:blipFill>
      <xdr:spPr>
        <a:xfrm>
          <a:off x="6486524" y="47625"/>
          <a:ext cx="1146175" cy="1417459"/>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127029</xdr:colOff>
      <xdr:row>0</xdr:row>
      <xdr:rowOff>52927</xdr:rowOff>
    </xdr:from>
    <xdr:to>
      <xdr:col>14</xdr:col>
      <xdr:colOff>2211904</xdr:colOff>
      <xdr:row>4</xdr:row>
      <xdr:rowOff>148173</xdr:rowOff>
    </xdr:to>
    <xdr:grpSp>
      <xdr:nvGrpSpPr>
        <xdr:cNvPr id="2" name="Grupp 1">
          <a:extLst>
            <a:ext uri="{FF2B5EF4-FFF2-40B4-BE49-F238E27FC236}">
              <a16:creationId xmlns:a16="http://schemas.microsoft.com/office/drawing/2014/main" id="{00000000-0008-0000-0300-000002000000}"/>
            </a:ext>
          </a:extLst>
        </xdr:cNvPr>
        <xdr:cNvGrpSpPr/>
      </xdr:nvGrpSpPr>
      <xdr:grpSpPr>
        <a:xfrm>
          <a:off x="8521729" y="52927"/>
          <a:ext cx="5869475" cy="857246"/>
          <a:chOff x="6466446" y="10585"/>
          <a:chExt cx="4931791" cy="857246"/>
        </a:xfrm>
      </xdr:grpSpPr>
      <xdr:pic>
        <xdr:nvPicPr>
          <xdr:cNvPr id="8" name="Bildobjekt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1" cstate="print"/>
          <a:stretch>
            <a:fillRect/>
          </a:stretch>
        </xdr:blipFill>
        <xdr:spPr>
          <a:xfrm>
            <a:off x="9240295" y="10585"/>
            <a:ext cx="2157942" cy="740344"/>
          </a:xfrm>
          <a:prstGeom prst="rect">
            <a:avLst/>
          </a:prstGeom>
          <a:ln>
            <a:prstDash val="solid"/>
          </a:ln>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128039</xdr:colOff>
      <xdr:row>0</xdr:row>
      <xdr:rowOff>52918</xdr:rowOff>
    </xdr:from>
    <xdr:to>
      <xdr:col>14</xdr:col>
      <xdr:colOff>2212914</xdr:colOff>
      <xdr:row>4</xdr:row>
      <xdr:rowOff>148164</xdr:rowOff>
    </xdr:to>
    <xdr:grpSp>
      <xdr:nvGrpSpPr>
        <xdr:cNvPr id="6" name="Grupp 5">
          <a:extLst>
            <a:ext uri="{FF2B5EF4-FFF2-40B4-BE49-F238E27FC236}">
              <a16:creationId xmlns:a16="http://schemas.microsoft.com/office/drawing/2014/main" id="{00000000-0008-0000-0400-000006000000}"/>
            </a:ext>
          </a:extLst>
        </xdr:cNvPr>
        <xdr:cNvGrpSpPr/>
      </xdr:nvGrpSpPr>
      <xdr:grpSpPr>
        <a:xfrm>
          <a:off x="8522739" y="52918"/>
          <a:ext cx="5869475" cy="857246"/>
          <a:chOff x="6466446" y="10585"/>
          <a:chExt cx="4931791" cy="857246"/>
        </a:xfrm>
      </xdr:grpSpPr>
      <xdr:pic>
        <xdr:nvPicPr>
          <xdr:cNvPr id="8" name="Bildobjekt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1" cstate="print"/>
          <a:stretch>
            <a:fillRect/>
          </a:stretch>
        </xdr:blipFill>
        <xdr:spPr>
          <a:xfrm>
            <a:off x="9240295" y="10585"/>
            <a:ext cx="2157942" cy="740344"/>
          </a:xfrm>
          <a:prstGeom prst="rect">
            <a:avLst/>
          </a:prstGeom>
          <a:ln>
            <a:prstDash val="solid"/>
          </a:ln>
        </xdr:spPr>
      </xdr:pic>
    </xdr:grpSp>
    <xdr:clientData/>
  </xdr:twoCellAnchor>
</xdr:wsDr>
</file>

<file path=xl/theme/theme1.xml><?xml version="1.0" encoding="utf-8"?>
<a:theme xmlns:a="http://schemas.openxmlformats.org/drawingml/2006/main" name="Office-te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dimension ref="A1:C23"/>
  <sheetViews>
    <sheetView workbookViewId="0"/>
  </sheetViews>
  <sheetFormatPr baseColWidth="10" defaultColWidth="9.140625" defaultRowHeight="14" x14ac:dyDescent="0.2"/>
  <cols>
    <col min="1" max="1" width="90.7109375" style="15" customWidth="1"/>
    <col min="2" max="2" width="9.140625" style="15" customWidth="1"/>
    <col min="3" max="16384" width="9.140625" style="15"/>
  </cols>
  <sheetData>
    <row r="1" spans="1:3" ht="16" customHeight="1" x14ac:dyDescent="0.2">
      <c r="A1" s="36" t="s">
        <v>34</v>
      </c>
    </row>
    <row r="2" spans="1:3" ht="60" customHeight="1" x14ac:dyDescent="0.2">
      <c r="A2" s="37" t="s">
        <v>35</v>
      </c>
    </row>
    <row r="4" spans="1:3" ht="16" customHeight="1" x14ac:dyDescent="0.2">
      <c r="A4" s="36" t="s">
        <v>36</v>
      </c>
    </row>
    <row r="5" spans="1:3" ht="240" customHeight="1" x14ac:dyDescent="0.2">
      <c r="A5" s="37" t="s">
        <v>37</v>
      </c>
    </row>
    <row r="6" spans="1:3" x14ac:dyDescent="0.2">
      <c r="C6" s="119" t="s">
        <v>38</v>
      </c>
    </row>
    <row r="7" spans="1:3" ht="16" customHeight="1" x14ac:dyDescent="0.2">
      <c r="A7" s="36" t="s">
        <v>39</v>
      </c>
    </row>
    <row r="8" spans="1:3" ht="240" customHeight="1" x14ac:dyDescent="0.2">
      <c r="A8" s="37" t="s">
        <v>40</v>
      </c>
    </row>
    <row r="10" spans="1:3" ht="16" customHeight="1" x14ac:dyDescent="0.2">
      <c r="A10" s="36" t="s">
        <v>13</v>
      </c>
    </row>
    <row r="11" spans="1:3" ht="60" customHeight="1" x14ac:dyDescent="0.2">
      <c r="A11" s="37" t="s">
        <v>41</v>
      </c>
    </row>
    <row r="13" spans="1:3" ht="16" customHeight="1" x14ac:dyDescent="0.2">
      <c r="A13" s="36" t="s">
        <v>42</v>
      </c>
    </row>
    <row r="14" spans="1:3" ht="225" customHeight="1" x14ac:dyDescent="0.2">
      <c r="A14" s="37" t="s">
        <v>43</v>
      </c>
    </row>
    <row r="16" spans="1:3" ht="16" customHeight="1" x14ac:dyDescent="0.2">
      <c r="A16" s="36" t="s">
        <v>44</v>
      </c>
    </row>
    <row r="17" spans="1:1" ht="229.5" customHeight="1" x14ac:dyDescent="0.2">
      <c r="A17" s="37" t="s">
        <v>45</v>
      </c>
    </row>
    <row r="19" spans="1:1" ht="16" customHeight="1" x14ac:dyDescent="0.2">
      <c r="A19" s="36" t="s">
        <v>46</v>
      </c>
    </row>
    <row r="20" spans="1:1" ht="120" customHeight="1" x14ac:dyDescent="0.2">
      <c r="A20" s="37" t="s">
        <v>47</v>
      </c>
    </row>
    <row r="22" spans="1:1" ht="16" customHeight="1" x14ac:dyDescent="0.2">
      <c r="A22" s="36" t="s">
        <v>48</v>
      </c>
    </row>
    <row r="23" spans="1:1" ht="30" customHeight="1" x14ac:dyDescent="0.2">
      <c r="A23" s="59" t="s">
        <v>49</v>
      </c>
    </row>
  </sheetData>
  <sheetProtection algorithmName="SHA-512" hashValue="lrTjk/uke1vz7t6t8eBLggvcJVSGmhg/yh2Xw9wYRtQh8Gkjh0iRHomtvID89sSAUfhARJESTyT4vqpJN/uK8w==" saltValue="5OCy/YHOo2DXZ95xRIcRSw==" spinCount="100000" sheet="1" objects="1" scenarios="1"/>
  <pageMargins left="0.70866141732283472" right="0.70866141732283472" top="0.74803149606299213" bottom="0.74803149606299213" header="0.31496062992125978" footer="0.31496062992125978"/>
  <pageSetup paperSize="9" orientation="portrait"/>
  <headerFooter>
    <oddHeader>&amp;L&amp;"Arial,Normal"&amp;16 &amp;K457BADFlexblankett LiU - manual&amp;R&amp;"Arial,Normal"&amp;8 &amp;P (&amp;N)</oddHeader>
    <oddFooter>&amp;L&amp;"Arial,Normal"&amp;8 Flex 2015 LiU © UF/FFK 2014&amp;C&amp;"Arial,Normal"&amp;8 &amp;F • &amp;A&amp;R&amp;"Arial,Normal"&amp;8 &amp;D • &amp;T</oddFooter>
  </headerFooter>
  <rowBreaks count="2" manualBreakCount="2">
    <brk id="6" max="16383" man="1"/>
    <brk id="15"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2"/>
  <dimension ref="A1:A19"/>
  <sheetViews>
    <sheetView workbookViewId="0"/>
  </sheetViews>
  <sheetFormatPr baseColWidth="10" defaultColWidth="9.140625" defaultRowHeight="14" x14ac:dyDescent="0.2"/>
  <cols>
    <col min="1" max="1" width="90.7109375" style="15" customWidth="1"/>
    <col min="2" max="2" width="9.140625" style="15" customWidth="1"/>
    <col min="3" max="16384" width="9.140625" style="15"/>
  </cols>
  <sheetData>
    <row r="1" spans="1:1" ht="16" customHeight="1" x14ac:dyDescent="0.2">
      <c r="A1" s="36" t="s">
        <v>50</v>
      </c>
    </row>
    <row r="3" spans="1:1" x14ac:dyDescent="0.2">
      <c r="A3" s="24" t="s">
        <v>22</v>
      </c>
    </row>
    <row r="4" spans="1:1" ht="30" customHeight="1" x14ac:dyDescent="0.2">
      <c r="A4" s="37" t="s">
        <v>51</v>
      </c>
    </row>
    <row r="6" spans="1:1" x14ac:dyDescent="0.2">
      <c r="A6" s="24" t="s">
        <v>52</v>
      </c>
    </row>
    <row r="7" spans="1:1" ht="63.75" customHeight="1" x14ac:dyDescent="0.2">
      <c r="A7" s="37" t="s">
        <v>53</v>
      </c>
    </row>
    <row r="9" spans="1:1" x14ac:dyDescent="0.2">
      <c r="A9" s="24" t="s">
        <v>54</v>
      </c>
    </row>
    <row r="10" spans="1:1" ht="30" customHeight="1" x14ac:dyDescent="0.2">
      <c r="A10" s="37" t="s">
        <v>55</v>
      </c>
    </row>
    <row r="12" spans="1:1" x14ac:dyDescent="0.2">
      <c r="A12" s="24" t="s">
        <v>56</v>
      </c>
    </row>
    <row r="13" spans="1:1" ht="25.5" customHeight="1" x14ac:dyDescent="0.2">
      <c r="A13" s="37" t="s">
        <v>57</v>
      </c>
    </row>
    <row r="15" spans="1:1" x14ac:dyDescent="0.2">
      <c r="A15" s="24" t="s">
        <v>58</v>
      </c>
    </row>
    <row r="16" spans="1:1" ht="30" customHeight="1" x14ac:dyDescent="0.2">
      <c r="A16" s="37" t="s">
        <v>59</v>
      </c>
    </row>
    <row r="18" spans="1:1" x14ac:dyDescent="0.2">
      <c r="A18" s="24" t="s">
        <v>60</v>
      </c>
    </row>
    <row r="19" spans="1:1" ht="89.25" customHeight="1" x14ac:dyDescent="0.2">
      <c r="A19" s="37" t="s">
        <v>61</v>
      </c>
    </row>
  </sheetData>
  <sheetProtection algorithmName="SHA-512" hashValue="ED48WM7H8oEgEVJQhQWe0bDcZyL1d0asmeaaG+uo0YI/Z8KPoB6moLbEP+n8/qvKmY1QhvRLNyJQNXuICE9ekQ==" saltValue="hV8QG+A+YOB+eyDyRGEfkg==" spinCount="100000" sheet="1" scenarios="1"/>
  <pageMargins left="0.70866141732283472" right="0.70866141732283472" top="0.74803149606299213" bottom="0.74803149606299213" header="0.31496062992125978" footer="0.31496062992125978"/>
  <pageSetup paperSize="9" orientation="portrait"/>
  <headerFooter>
    <oddHeader>&amp;L&amp;"Arial,Normal"&amp;16 &amp;K457BADFlexblankett LiU - manual&amp;R&amp;"Arial,Normal"&amp;8 &amp;P (&amp;N)</oddHeader>
    <oddFooter>&amp;L&amp;"Arial,Normal"&amp;8 Flex 2015 LiU © UF/FFK 2014&amp;C&amp;"Arial,Normal"&amp;8 &amp;F • &amp;A&amp;R&amp;"Arial,Normal"&amp;8 &amp;D • &amp;T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Blad4">
    <pageSetUpPr fitToPage="1"/>
  </sheetPr>
  <dimension ref="A1:K75"/>
  <sheetViews>
    <sheetView workbookViewId="0">
      <selection activeCell="B6" sqref="B6"/>
    </sheetView>
  </sheetViews>
  <sheetFormatPr baseColWidth="10" defaultColWidth="9.140625" defaultRowHeight="14" x14ac:dyDescent="0.2"/>
  <cols>
    <col min="1" max="1" width="20.5703125" style="15" customWidth="1"/>
    <col min="2" max="2" width="9.7109375" style="15" bestFit="1" customWidth="1"/>
    <col min="3" max="5" width="9.140625" style="15" customWidth="1"/>
    <col min="6" max="6" width="10.140625" style="15" customWidth="1"/>
    <col min="7" max="7" width="58" style="15" bestFit="1" customWidth="1"/>
    <col min="8" max="8" width="9.140625" style="15" customWidth="1"/>
    <col min="9" max="16384" width="9.140625" style="15"/>
  </cols>
  <sheetData>
    <row r="1" spans="1:7" ht="54.75" customHeight="1" x14ac:dyDescent="0.55000000000000004">
      <c r="A1" s="61"/>
      <c r="B1" s="62"/>
      <c r="C1" s="62"/>
      <c r="D1" s="62"/>
      <c r="E1" s="62"/>
      <c r="F1" s="62"/>
      <c r="G1" s="162" t="s">
        <v>62</v>
      </c>
    </row>
    <row r="2" spans="1:7" x14ac:dyDescent="0.2">
      <c r="A2" s="62"/>
      <c r="B2" s="62"/>
      <c r="C2" s="62"/>
      <c r="D2" s="62"/>
      <c r="E2" s="62"/>
      <c r="F2" s="62"/>
      <c r="G2" s="163"/>
    </row>
    <row r="3" spans="1:7" x14ac:dyDescent="0.2">
      <c r="A3" s="58" t="s">
        <v>0</v>
      </c>
      <c r="B3" s="165" t="s">
        <v>63</v>
      </c>
      <c r="C3" s="166"/>
      <c r="D3" s="166"/>
      <c r="E3" s="166"/>
      <c r="F3" s="134"/>
      <c r="G3" s="163"/>
    </row>
    <row r="4" spans="1:7" x14ac:dyDescent="0.2">
      <c r="A4" s="58" t="s">
        <v>64</v>
      </c>
      <c r="B4" s="164" t="s">
        <v>65</v>
      </c>
      <c r="C4" s="160"/>
      <c r="D4" s="135"/>
      <c r="E4" s="136"/>
      <c r="F4" s="137"/>
      <c r="G4" s="163"/>
    </row>
    <row r="5" spans="1:7" ht="15" customHeight="1" x14ac:dyDescent="0.2">
      <c r="A5" s="58" t="s">
        <v>66</v>
      </c>
      <c r="B5" s="138">
        <v>6</v>
      </c>
      <c r="C5" s="143" t="s">
        <v>67</v>
      </c>
      <c r="D5" s="139"/>
      <c r="E5" s="139"/>
      <c r="F5" s="137"/>
      <c r="G5" s="163"/>
    </row>
    <row r="6" spans="1:7" x14ac:dyDescent="0.2">
      <c r="A6" s="58" t="s">
        <v>68</v>
      </c>
      <c r="B6" s="140">
        <v>1</v>
      </c>
      <c r="C6" s="141"/>
      <c r="D6" s="141"/>
      <c r="E6" s="141"/>
      <c r="F6" s="142"/>
      <c r="G6" s="163"/>
    </row>
    <row r="7" spans="1:7" x14ac:dyDescent="0.2">
      <c r="A7" s="16"/>
      <c r="B7" s="16"/>
      <c r="C7" s="16"/>
      <c r="D7" s="16"/>
      <c r="E7" s="16"/>
      <c r="F7" s="16"/>
      <c r="G7" s="16"/>
    </row>
    <row r="8" spans="1:7" x14ac:dyDescent="0.2">
      <c r="A8" s="63" t="s">
        <v>6</v>
      </c>
      <c r="B8" s="64" t="s">
        <v>69</v>
      </c>
      <c r="C8" s="64" t="s">
        <v>9</v>
      </c>
      <c r="D8" s="64" t="s">
        <v>15</v>
      </c>
      <c r="E8" s="64" t="s">
        <v>70</v>
      </c>
      <c r="F8" s="64" t="s">
        <v>71</v>
      </c>
      <c r="G8" s="65" t="s">
        <v>72</v>
      </c>
    </row>
    <row r="9" spans="1:7" ht="28" customHeight="1" x14ac:dyDescent="0.2">
      <c r="A9" s="26">
        <f t="shared" ref="A9:A20" si="0">A61</f>
        <v>44561</v>
      </c>
      <c r="B9" s="30">
        <f>januari!I1</f>
        <v>144</v>
      </c>
      <c r="C9" s="31">
        <f>januari!B$4</f>
        <v>1</v>
      </c>
      <c r="D9" s="32">
        <f>IF(januari!$F$3=0,"",Saldo_jan)</f>
        <v>2</v>
      </c>
      <c r="E9" s="32">
        <f ca="1">IF(D9="","",UB_jan)</f>
        <v>8</v>
      </c>
      <c r="F9" s="32" t="str">
        <f>IF(januari!$F$4=0,"",januari!$F$4)</f>
        <v/>
      </c>
      <c r="G9" s="145" t="str">
        <f t="shared" ref="G9:G20" si="1">IF(D61="","",D61)</f>
        <v>Klämdag 2/1, 8 tim. Klämdag 5/1, 8 tim</v>
      </c>
    </row>
    <row r="10" spans="1:7" ht="28" customHeight="1" x14ac:dyDescent="0.2">
      <c r="A10" s="26">
        <f t="shared" si="0"/>
        <v>44592</v>
      </c>
      <c r="B10" s="30">
        <f>februari!I1</f>
        <v>160</v>
      </c>
      <c r="C10" s="31">
        <f>februari!B$4</f>
        <v>1</v>
      </c>
      <c r="D10" s="32">
        <f>IF(februari!$F$3=0,"",Saldo_feb)</f>
        <v>5.5</v>
      </c>
      <c r="E10" s="32">
        <f ca="1">IF(D10="","",UB_feb)</f>
        <v>13.5</v>
      </c>
      <c r="F10" s="32" t="str">
        <f>IF(februari!$F$4=0,"",februari!$F$4)</f>
        <v/>
      </c>
      <c r="G10" s="145" t="str">
        <f t="shared" si="1"/>
        <v/>
      </c>
    </row>
    <row r="11" spans="1:7" ht="28" customHeight="1" x14ac:dyDescent="0.2">
      <c r="A11" s="26">
        <f t="shared" si="0"/>
        <v>44620</v>
      </c>
      <c r="B11" s="30">
        <f>mars!I1</f>
        <v>176</v>
      </c>
      <c r="C11" s="31">
        <f>mars!B$4</f>
        <v>1</v>
      </c>
      <c r="D11" s="32">
        <f>IF(mars!$F$3=0,"",Saldo_mar)</f>
        <v>-32.5</v>
      </c>
      <c r="E11" s="32">
        <f ca="1">IF(D11="","",UB_mar)</f>
        <v>19.5</v>
      </c>
      <c r="F11" s="32" t="str">
        <f>IF(mars!$F$4=0,"",mars!$F$4)</f>
        <v/>
      </c>
      <c r="G11" s="145" t="str">
        <f t="shared" si="1"/>
        <v/>
      </c>
    </row>
    <row r="12" spans="1:7" ht="28" customHeight="1" x14ac:dyDescent="0.2">
      <c r="A12" s="26">
        <f t="shared" si="0"/>
        <v>44651</v>
      </c>
      <c r="B12" s="30">
        <f>april!I1</f>
        <v>160</v>
      </c>
      <c r="C12" s="31">
        <f>april!B$4</f>
        <v>1</v>
      </c>
      <c r="D12" s="32" t="str">
        <f>IF(april!$F$3=0,"",Saldo_apr)</f>
        <v/>
      </c>
      <c r="E12" s="32" t="str">
        <f>IF(D12="","",UB_apr)</f>
        <v/>
      </c>
      <c r="F12" s="32" t="str">
        <f>IF(april!$F$4=0,"",april!$F$4)</f>
        <v/>
      </c>
      <c r="G12" s="145" t="str">
        <f t="shared" si="1"/>
        <v>Långfredagen 3/4, 8 tim. Annandag påsk 6/4, 8 tim</v>
      </c>
    </row>
    <row r="13" spans="1:7" ht="28" customHeight="1" x14ac:dyDescent="0.2">
      <c r="A13" s="26">
        <f t="shared" si="0"/>
        <v>44681</v>
      </c>
      <c r="B13" s="30">
        <f>maj!I1</f>
        <v>144</v>
      </c>
      <c r="C13" s="31">
        <f>maj!B$4</f>
        <v>1</v>
      </c>
      <c r="D13" s="32" t="str">
        <f>IF(maj!$F$3=0,"",Saldo_maj)</f>
        <v/>
      </c>
      <c r="E13" s="32" t="str">
        <f>IF(D13="","",UB_maj)</f>
        <v/>
      </c>
      <c r="F13" s="32" t="str">
        <f>IF(maj!$F$4=0,"",maj!$F$4)</f>
        <v/>
      </c>
      <c r="G13" s="145" t="str">
        <f t="shared" si="1"/>
        <v>Första maj 1/5, 8 tim. Kristi himmelsfärdsdag 14/5, 8 tim. Klämdag 15/5, 8 tim</v>
      </c>
    </row>
    <row r="14" spans="1:7" ht="28" customHeight="1" x14ac:dyDescent="0.2">
      <c r="A14" s="26">
        <f t="shared" si="0"/>
        <v>44712</v>
      </c>
      <c r="B14" s="30">
        <f>juni!I1</f>
        <v>168</v>
      </c>
      <c r="C14" s="31">
        <f>juni!B$4</f>
        <v>1</v>
      </c>
      <c r="D14" s="32" t="str">
        <f>IF(juni!$F$3=0,"",Saldo_jun)</f>
        <v/>
      </c>
      <c r="E14" s="32" t="str">
        <f>IF(D14="","",UB_jun)</f>
        <v/>
      </c>
      <c r="F14" s="32" t="str">
        <f>IF(juni!$F$4=0,"",juni!$F$4)</f>
        <v/>
      </c>
      <c r="G14" s="145" t="str">
        <f t="shared" si="1"/>
        <v>Midsommarafton 19/6, 8 tim</v>
      </c>
    </row>
    <row r="15" spans="1:7" ht="28" customHeight="1" x14ac:dyDescent="0.2">
      <c r="A15" s="26">
        <f t="shared" si="0"/>
        <v>44742</v>
      </c>
      <c r="B15" s="30">
        <f>juli!I1</f>
        <v>184</v>
      </c>
      <c r="C15" s="31">
        <f>juli!B$4</f>
        <v>1</v>
      </c>
      <c r="D15" s="32" t="str">
        <f>IF(juli!$F$3=0,"",Saldo_jul)</f>
        <v/>
      </c>
      <c r="E15" s="32" t="str">
        <f>IF(D15="","",UB_jul)</f>
        <v/>
      </c>
      <c r="F15" s="32" t="str">
        <f>IF(juli!$F$4=0,"",juli!$F$4)</f>
        <v/>
      </c>
      <c r="G15" s="145" t="str">
        <f t="shared" si="1"/>
        <v/>
      </c>
    </row>
    <row r="16" spans="1:7" ht="28" customHeight="1" x14ac:dyDescent="0.2">
      <c r="A16" s="26">
        <f t="shared" si="0"/>
        <v>44773</v>
      </c>
      <c r="B16" s="30">
        <f>augusti!I1</f>
        <v>168</v>
      </c>
      <c r="C16" s="31">
        <f>augusti!B$4</f>
        <v>1</v>
      </c>
      <c r="D16" s="32" t="str">
        <f>IF(augusti!$F$3=0,"",Saldo_aug)</f>
        <v/>
      </c>
      <c r="E16" s="32" t="str">
        <f>IF(D16="","",UB_aug)</f>
        <v/>
      </c>
      <c r="F16" s="32" t="str">
        <f>IF(augusti!$F$4=0,"",augusti!$F$4)</f>
        <v/>
      </c>
      <c r="G16" s="145" t="str">
        <f t="shared" si="1"/>
        <v/>
      </c>
    </row>
    <row r="17" spans="1:10" ht="28" customHeight="1" x14ac:dyDescent="0.2">
      <c r="A17" s="26">
        <f t="shared" si="0"/>
        <v>44804</v>
      </c>
      <c r="B17" s="30">
        <f>september!I1</f>
        <v>176</v>
      </c>
      <c r="C17" s="31">
        <f>september!B$4</f>
        <v>1</v>
      </c>
      <c r="D17" s="32" t="str">
        <f>IF(september!$F$3=0,"",Saldo_sep)</f>
        <v/>
      </c>
      <c r="E17" s="32" t="str">
        <f>IF(D17="","",UB_sep)</f>
        <v/>
      </c>
      <c r="F17" s="32" t="str">
        <f>IF(september!$F$4=0,"",september!$F$4)</f>
        <v/>
      </c>
      <c r="G17" s="145" t="str">
        <f t="shared" si="1"/>
        <v/>
      </c>
    </row>
    <row r="18" spans="1:10" ht="28" customHeight="1" x14ac:dyDescent="0.2">
      <c r="A18" s="26">
        <f t="shared" si="0"/>
        <v>44834</v>
      </c>
      <c r="B18" s="30">
        <f>oktober!I1</f>
        <v>176</v>
      </c>
      <c r="C18" s="31">
        <f>oktober!B$4</f>
        <v>1</v>
      </c>
      <c r="D18" s="32" t="str">
        <f>IF(oktober!$F$3=0,"",Saldo_okt)</f>
        <v/>
      </c>
      <c r="E18" s="32" t="str">
        <f>IF(D18="","",UB_okt)</f>
        <v/>
      </c>
      <c r="F18" s="32" t="str">
        <f>IF(oktober!$F$4=0,"",oktober!$F$4)</f>
        <v/>
      </c>
      <c r="G18" s="145" t="str">
        <f t="shared" si="1"/>
        <v/>
      </c>
    </row>
    <row r="19" spans="1:10" ht="28" customHeight="1" x14ac:dyDescent="0.2">
      <c r="A19" s="26">
        <f t="shared" si="0"/>
        <v>44865</v>
      </c>
      <c r="B19" s="30">
        <f>november!I1</f>
        <v>168</v>
      </c>
      <c r="C19" s="31">
        <f>november!B$4</f>
        <v>1</v>
      </c>
      <c r="D19" s="32" t="str">
        <f>IF(november!$F$3=0,"",Saldo_nov)</f>
        <v/>
      </c>
      <c r="E19" s="32" t="str">
        <f>IF(D19="","",UB_nov)</f>
        <v/>
      </c>
      <c r="F19" s="32" t="str">
        <f>IF(november!$F$4=0,"",november!$F$4)</f>
        <v/>
      </c>
      <c r="G19" s="145" t="str">
        <f t="shared" si="1"/>
        <v/>
      </c>
      <c r="J19" s="15" t="s">
        <v>73</v>
      </c>
    </row>
    <row r="20" spans="1:10" ht="28" customHeight="1" x14ac:dyDescent="0.2">
      <c r="A20" s="26">
        <f t="shared" si="0"/>
        <v>44895</v>
      </c>
      <c r="B20" s="30">
        <f>december!I1</f>
        <v>160</v>
      </c>
      <c r="C20" s="31">
        <f>december!B$4</f>
        <v>1</v>
      </c>
      <c r="D20" s="32" t="str">
        <f>IF(december!$F$3=0,"",Saldo_dec)</f>
        <v/>
      </c>
      <c r="E20" s="32" t="str">
        <f>IF(D20="","",UB_dec)</f>
        <v/>
      </c>
      <c r="F20" s="32" t="str">
        <f>IF(december!$F$4=0,"",december!$F$4)</f>
        <v/>
      </c>
      <c r="G20" s="145" t="str">
        <f t="shared" si="1"/>
        <v>Julafton 24/12, 8 tim. Juldagen 25/12, 8 tim. Nyårsafton 31/12, 8 tim</v>
      </c>
    </row>
    <row r="32" spans="1:10" x14ac:dyDescent="0.2">
      <c r="A32" s="22" t="s">
        <v>74</v>
      </c>
    </row>
    <row r="33" spans="1:2" x14ac:dyDescent="0.2">
      <c r="A33" s="23">
        <f ca="1">TODAY()</f>
        <v>44643</v>
      </c>
      <c r="B33" s="132"/>
    </row>
    <row r="59" spans="1:11" x14ac:dyDescent="0.2">
      <c r="A59" s="33" t="s">
        <v>75</v>
      </c>
      <c r="H59" s="127"/>
      <c r="I59" s="128"/>
      <c r="J59" s="128"/>
      <c r="K59" s="129"/>
    </row>
    <row r="60" spans="1:11" x14ac:dyDescent="0.2">
      <c r="A60" s="24" t="s">
        <v>6</v>
      </c>
      <c r="B60" s="25" t="s">
        <v>76</v>
      </c>
      <c r="C60" s="25" t="s">
        <v>69</v>
      </c>
      <c r="D60" s="24" t="s">
        <v>77</v>
      </c>
      <c r="E60" s="24"/>
      <c r="H60" s="127"/>
      <c r="I60" s="128"/>
      <c r="J60" s="128"/>
      <c r="K60" s="129"/>
    </row>
    <row r="61" spans="1:11" x14ac:dyDescent="0.2">
      <c r="A61" s="26">
        <v>44561</v>
      </c>
      <c r="B61" s="27">
        <v>18</v>
      </c>
      <c r="C61" s="27">
        <v>144</v>
      </c>
      <c r="D61" s="28" t="s">
        <v>78</v>
      </c>
      <c r="H61" s="127"/>
      <c r="I61" s="128"/>
      <c r="J61" s="128"/>
      <c r="K61" s="129"/>
    </row>
    <row r="62" spans="1:11" x14ac:dyDescent="0.2">
      <c r="A62" s="26">
        <v>44592</v>
      </c>
      <c r="B62" s="27">
        <v>20</v>
      </c>
      <c r="C62" s="27">
        <v>160</v>
      </c>
      <c r="D62" s="28"/>
      <c r="H62" s="127"/>
      <c r="I62" s="128"/>
      <c r="J62" s="128"/>
      <c r="K62" s="129"/>
    </row>
    <row r="63" spans="1:11" x14ac:dyDescent="0.2">
      <c r="A63" s="26">
        <v>44620</v>
      </c>
      <c r="B63" s="27">
        <v>22</v>
      </c>
      <c r="C63" s="27">
        <v>176</v>
      </c>
      <c r="D63" s="28"/>
      <c r="H63" s="127"/>
      <c r="I63" s="128"/>
      <c r="J63" s="128"/>
      <c r="K63" s="129"/>
    </row>
    <row r="64" spans="1:11" x14ac:dyDescent="0.2">
      <c r="A64" s="26">
        <v>44651</v>
      </c>
      <c r="B64" s="27">
        <v>20</v>
      </c>
      <c r="C64" s="27">
        <v>160</v>
      </c>
      <c r="D64" s="28" t="s">
        <v>79</v>
      </c>
      <c r="H64" s="127"/>
      <c r="I64" s="128"/>
      <c r="J64" s="128"/>
      <c r="K64" s="130"/>
    </row>
    <row r="65" spans="1:11" x14ac:dyDescent="0.2">
      <c r="A65" s="26">
        <v>44681</v>
      </c>
      <c r="B65" s="27">
        <v>18</v>
      </c>
      <c r="C65" s="27">
        <v>144</v>
      </c>
      <c r="D65" s="28" t="s">
        <v>80</v>
      </c>
      <c r="H65" s="127"/>
      <c r="I65" s="128"/>
      <c r="J65" s="128"/>
      <c r="K65" s="129"/>
    </row>
    <row r="66" spans="1:11" x14ac:dyDescent="0.2">
      <c r="A66" s="26">
        <v>44712</v>
      </c>
      <c r="B66" s="27">
        <v>21</v>
      </c>
      <c r="C66" s="27">
        <v>168</v>
      </c>
      <c r="D66" s="28" t="s">
        <v>81</v>
      </c>
      <c r="E66" s="29"/>
      <c r="H66" s="127"/>
      <c r="I66" s="128"/>
      <c r="J66" s="128"/>
      <c r="K66" s="129"/>
    </row>
    <row r="67" spans="1:11" x14ac:dyDescent="0.2">
      <c r="A67" s="26">
        <v>44742</v>
      </c>
      <c r="B67" s="27">
        <v>23</v>
      </c>
      <c r="C67" s="27">
        <v>184</v>
      </c>
      <c r="D67" s="28"/>
      <c r="H67" s="127"/>
      <c r="I67" s="128"/>
      <c r="J67" s="128"/>
      <c r="K67" s="129"/>
    </row>
    <row r="68" spans="1:11" x14ac:dyDescent="0.2">
      <c r="A68" s="26">
        <v>44773</v>
      </c>
      <c r="B68" s="27">
        <v>21</v>
      </c>
      <c r="C68" s="27">
        <v>168</v>
      </c>
      <c r="D68" s="28"/>
      <c r="H68" s="127"/>
      <c r="I68" s="128"/>
      <c r="J68" s="128"/>
      <c r="K68" s="129"/>
    </row>
    <row r="69" spans="1:11" x14ac:dyDescent="0.2">
      <c r="A69" s="26">
        <v>44804</v>
      </c>
      <c r="B69" s="27">
        <v>22</v>
      </c>
      <c r="C69" s="27">
        <v>176</v>
      </c>
      <c r="D69" s="28"/>
      <c r="H69" s="127"/>
      <c r="I69" s="128"/>
      <c r="J69" s="128"/>
      <c r="K69" s="129"/>
    </row>
    <row r="70" spans="1:11" x14ac:dyDescent="0.2">
      <c r="A70" s="26">
        <v>44834</v>
      </c>
      <c r="B70" s="27">
        <v>22</v>
      </c>
      <c r="C70" s="27">
        <v>176</v>
      </c>
      <c r="D70" s="28"/>
      <c r="H70" s="127"/>
      <c r="I70" s="128"/>
      <c r="J70" s="128"/>
      <c r="K70" s="129"/>
    </row>
    <row r="71" spans="1:11" x14ac:dyDescent="0.2">
      <c r="A71" s="26">
        <v>44865</v>
      </c>
      <c r="B71" s="27">
        <v>21</v>
      </c>
      <c r="C71" s="27">
        <v>168</v>
      </c>
      <c r="D71" s="28"/>
    </row>
    <row r="72" spans="1:11" x14ac:dyDescent="0.2">
      <c r="A72" s="26">
        <v>44895</v>
      </c>
      <c r="B72" s="27">
        <v>20</v>
      </c>
      <c r="C72" s="27">
        <v>160</v>
      </c>
      <c r="D72" s="28" t="s">
        <v>82</v>
      </c>
    </row>
    <row r="73" spans="1:11" x14ac:dyDescent="0.2">
      <c r="C73" s="46"/>
    </row>
    <row r="75" spans="1:11" x14ac:dyDescent="0.2">
      <c r="C75" s="46"/>
    </row>
  </sheetData>
  <sheetProtection algorithmName="SHA-512" hashValue="34XqhZEBEaTa5Ny7MRn6dq3zMJ8BVHDkB9FTtVfYZ36iqQ7e0bRf1NIrvHcoYvPcaMpbW+h8YQ/2NlUS5PAyrw==" saltValue="vWNJplgHw3xZZhupc/jLjw==" spinCount="100000" sheet="1" objects="1" scenarios="1"/>
  <mergeCells count="3">
    <mergeCell ref="G1:G6"/>
    <mergeCell ref="B4:C4"/>
    <mergeCell ref="B3:E3"/>
  </mergeCells>
  <conditionalFormatting sqref="D9:D20">
    <cfRule type="cellIs" dxfId="40" priority="1" stopIfTrue="1" operator="lessThan">
      <formula>0</formula>
    </cfRule>
    <cfRule type="cellIs" dxfId="39" priority="2" stopIfTrue="1" operator="greaterThanOrEqual">
      <formula>0</formula>
    </cfRule>
  </conditionalFormatting>
  <conditionalFormatting sqref="E9:F20">
    <cfRule type="cellIs" dxfId="38" priority="3" stopIfTrue="1" operator="lessThanOrEqual">
      <formula>-10</formula>
    </cfRule>
    <cfRule type="cellIs" dxfId="37" priority="4" stopIfTrue="1" operator="greaterThanOrEqual">
      <formula>55</formula>
    </cfRule>
    <cfRule type="cellIs" dxfId="36" priority="5" stopIfTrue="1" operator="between">
      <formula>-9.99</formula>
      <formula>54.99</formula>
    </cfRule>
  </conditionalFormatting>
  <pageMargins left="0.74803149606299213" right="0.74803149606299213" top="0.98425196850393704" bottom="0.98425196850393704" header="0.51181102362204722" footer="0.51181102362204722"/>
  <pageSetup paperSize="9" scale="85" orientation="landscape"/>
  <headerFooter alignWithMargins="0">
    <oddFooter>&amp;L&amp;"Arial,Normal"&amp;8 Flexblankett LiU © UF/FFK 2019&amp;C&amp;"Arial,Normal"&amp;8 &amp;F • &amp;A&amp;R&amp;"Arial,Normal"&amp;8 &amp;D • &amp;T</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7">
    <pageSetUpPr fitToPage="1"/>
  </sheetPr>
  <dimension ref="A1:Y40"/>
  <sheetViews>
    <sheetView workbookViewId="0">
      <pane xSplit="1" ySplit="6" topLeftCell="B7" activePane="bottomRight" state="frozen"/>
      <selection pane="topRight" activeCell="N49" sqref="N49"/>
      <selection pane="bottomLeft" activeCell="N49" sqref="N49"/>
      <selection pane="bottomRight" activeCell="B36" sqref="B36"/>
    </sheetView>
  </sheetViews>
  <sheetFormatPr baseColWidth="10" defaultColWidth="9.140625" defaultRowHeight="15" x14ac:dyDescent="0.2"/>
  <cols>
    <col min="1" max="1" width="8.7109375" style="13" customWidth="1"/>
    <col min="2" max="5" width="10.7109375" style="13" customWidth="1"/>
    <col min="6" max="9" width="10.7109375" style="1" customWidth="1"/>
    <col min="10" max="11" width="8.7109375" style="11" customWidth="1"/>
    <col min="12" max="13" width="8.7109375" style="1" customWidth="1"/>
    <col min="14" max="14" width="7.7109375" style="14" customWidth="1"/>
    <col min="15" max="15" width="33.7109375" style="1" customWidth="1"/>
    <col min="16" max="20" width="10.7109375" style="1" customWidth="1"/>
    <col min="21" max="23" width="9.140625" style="122" hidden="1" customWidth="1"/>
    <col min="24" max="25" width="9.140625" style="120" customWidth="1"/>
    <col min="26" max="26" width="9.140625" style="1" customWidth="1"/>
    <col min="27" max="16384" width="9.140625" style="1"/>
  </cols>
  <sheetData>
    <row r="1" spans="1:24" x14ac:dyDescent="0.2">
      <c r="A1" s="66" t="s">
        <v>0</v>
      </c>
      <c r="B1" s="151" t="str">
        <f>Namn</f>
        <v>Håkan Stensby</v>
      </c>
      <c r="C1" s="152"/>
      <c r="D1" s="152"/>
      <c r="E1" s="47" t="s">
        <v>1</v>
      </c>
      <c r="F1" s="115">
        <f>SUM(F7:F37)</f>
        <v>146</v>
      </c>
      <c r="G1" s="51"/>
      <c r="H1" s="47" t="s">
        <v>2</v>
      </c>
      <c r="I1" s="76">
        <f>VLOOKUP(B3,översikt!A61:C72,3,FALSE)*B4</f>
        <v>144</v>
      </c>
      <c r="J1" s="77"/>
      <c r="K1" s="78"/>
      <c r="L1" s="79"/>
      <c r="M1" s="80"/>
      <c r="N1" s="80"/>
      <c r="O1" s="81"/>
      <c r="P1" s="85"/>
      <c r="Q1" s="85"/>
      <c r="R1" s="85"/>
      <c r="S1" s="85"/>
      <c r="T1" s="85"/>
    </row>
    <row r="2" spans="1:24" x14ac:dyDescent="0.2">
      <c r="A2" s="67" t="s">
        <v>3</v>
      </c>
      <c r="B2" s="161" t="str">
        <f>Pnr</f>
        <v>19770217-6418</v>
      </c>
      <c r="C2" s="154"/>
      <c r="D2" s="154"/>
      <c r="E2" s="53" t="s">
        <v>4</v>
      </c>
      <c r="F2" s="116">
        <f>VALUE(SUM(M7:M37)*24)</f>
        <v>0</v>
      </c>
      <c r="G2" s="48"/>
      <c r="H2" s="53" t="s">
        <v>5</v>
      </c>
      <c r="I2" s="82">
        <f>IF(F3=0,0,F3-I1)</f>
        <v>2</v>
      </c>
      <c r="J2" s="83"/>
      <c r="K2" s="84"/>
      <c r="L2" s="85"/>
      <c r="M2" s="86"/>
      <c r="N2" s="87"/>
      <c r="O2" s="88"/>
      <c r="P2" s="85"/>
      <c r="Q2" s="85"/>
      <c r="R2" s="85"/>
      <c r="S2" s="85"/>
      <c r="T2" s="85"/>
    </row>
    <row r="3" spans="1:24" x14ac:dyDescent="0.2">
      <c r="A3" s="67" t="s">
        <v>6</v>
      </c>
      <c r="B3" s="155">
        <f>översikt!A61</f>
        <v>44561</v>
      </c>
      <c r="C3" s="154"/>
      <c r="D3" s="154"/>
      <c r="E3" s="53" t="s">
        <v>7</v>
      </c>
      <c r="F3" s="116">
        <f>F1+F2</f>
        <v>146</v>
      </c>
      <c r="G3" s="49"/>
      <c r="H3" s="53" t="s">
        <v>8</v>
      </c>
      <c r="I3" s="82">
        <f>översikt!B5</f>
        <v>6</v>
      </c>
      <c r="J3" s="84"/>
      <c r="K3" s="85"/>
      <c r="L3" s="85"/>
      <c r="M3" s="89"/>
      <c r="N3" s="87"/>
      <c r="O3" s="88"/>
      <c r="P3" s="85"/>
      <c r="Q3" s="85"/>
      <c r="R3" s="85"/>
      <c r="S3" s="85"/>
      <c r="T3" s="85"/>
      <c r="W3" s="123"/>
    </row>
    <row r="4" spans="1:24" x14ac:dyDescent="0.2">
      <c r="A4" s="67" t="s">
        <v>9</v>
      </c>
      <c r="B4" s="159">
        <f>Tjgrad</f>
        <v>1</v>
      </c>
      <c r="C4" s="160"/>
      <c r="D4" s="52"/>
      <c r="E4" s="53" t="s">
        <v>10</v>
      </c>
      <c r="F4" s="50"/>
      <c r="G4" s="49"/>
      <c r="H4" s="53" t="s">
        <v>11</v>
      </c>
      <c r="I4" s="131">
        <f ca="1">IF(N7="", "-", OFFSET(N6, COUNT(N:N), 0, 1, 1) + I3)</f>
        <v>8</v>
      </c>
      <c r="J4" s="84"/>
      <c r="K4" s="85"/>
      <c r="L4" s="85"/>
      <c r="M4" s="89"/>
      <c r="N4" s="87"/>
      <c r="O4" s="88"/>
      <c r="P4" s="90" t="s">
        <v>12</v>
      </c>
      <c r="Q4" s="85"/>
      <c r="R4" s="85"/>
      <c r="S4" s="85"/>
      <c r="T4" s="85"/>
    </row>
    <row r="5" spans="1:24" x14ac:dyDescent="0.2">
      <c r="A5" s="68"/>
      <c r="B5" s="70" t="s">
        <v>13</v>
      </c>
      <c r="C5" s="70"/>
      <c r="D5" s="70"/>
      <c r="E5" s="70"/>
      <c r="F5" s="70"/>
      <c r="G5" s="70"/>
      <c r="H5" s="70"/>
      <c r="I5" s="70"/>
      <c r="J5" s="70" t="s">
        <v>14</v>
      </c>
      <c r="K5" s="70"/>
      <c r="L5" s="70"/>
      <c r="M5" s="70"/>
      <c r="N5" s="71" t="s">
        <v>15</v>
      </c>
      <c r="O5" s="72"/>
      <c r="P5" s="91" t="s">
        <v>16</v>
      </c>
      <c r="Q5" s="70"/>
      <c r="R5" s="70"/>
      <c r="S5" s="70"/>
      <c r="T5" s="70"/>
      <c r="U5" s="122" t="s">
        <v>17</v>
      </c>
      <c r="V5" s="122" t="s">
        <v>18</v>
      </c>
      <c r="W5" s="122" t="s">
        <v>19</v>
      </c>
    </row>
    <row r="6" spans="1:24" x14ac:dyDescent="0.2">
      <c r="A6" s="69" t="s">
        <v>17</v>
      </c>
      <c r="B6" s="73" t="s">
        <v>20</v>
      </c>
      <c r="C6" s="73" t="s">
        <v>21</v>
      </c>
      <c r="D6" s="73" t="s">
        <v>22</v>
      </c>
      <c r="E6" s="73" t="s">
        <v>23</v>
      </c>
      <c r="F6" s="73" t="s">
        <v>24</v>
      </c>
      <c r="G6" s="73" t="s">
        <v>25</v>
      </c>
      <c r="H6" s="73"/>
      <c r="I6" s="73"/>
      <c r="J6" s="73" t="s">
        <v>26</v>
      </c>
      <c r="K6" s="73" t="s">
        <v>27</v>
      </c>
      <c r="L6" s="73" t="s">
        <v>28</v>
      </c>
      <c r="M6" s="73" t="s">
        <v>29</v>
      </c>
      <c r="N6" s="74" t="s">
        <v>30</v>
      </c>
      <c r="O6" s="75" t="s">
        <v>31</v>
      </c>
      <c r="P6" s="113"/>
      <c r="Q6" s="113"/>
      <c r="R6" s="113"/>
      <c r="S6" s="113"/>
      <c r="T6" s="113"/>
    </row>
    <row r="7" spans="1:24" x14ac:dyDescent="0.2">
      <c r="A7" s="2">
        <f>B3</f>
        <v>44561</v>
      </c>
      <c r="B7" s="3"/>
      <c r="C7" s="3"/>
      <c r="D7" s="3" t="str">
        <f t="shared" ref="D7:D37" si="0">IF(C7="","",0.5/24)</f>
        <v/>
      </c>
      <c r="E7" s="4">
        <f t="shared" ref="E7:E37" si="1">IF(C7="",0,C7-B7-D7)</f>
        <v>0</v>
      </c>
      <c r="F7" s="5">
        <f t="shared" ref="F7:F37" si="2">IF(E7="","",VALUE(E7)*24)</f>
        <v>0</v>
      </c>
      <c r="G7" s="156" t="s">
        <v>83</v>
      </c>
      <c r="H7" s="157"/>
      <c r="I7" s="158"/>
      <c r="J7" s="3"/>
      <c r="K7" s="3"/>
      <c r="L7" s="6"/>
      <c r="M7" s="7">
        <f t="shared" ref="M7:M37" si="3">IF(OR(G7="Semester",G7="Sjuk",G7="Vård av barn"),8/24*$B$4,IF(L7="+",K7-J7,IF(L7="-",(K7-J7)*-1,0)))</f>
        <v>0</v>
      </c>
      <c r="N7" s="42">
        <f t="shared" ref="N7:N37" ca="1" si="4">IF(Dagen&gt;A7,W7-V7,"")</f>
        <v>0</v>
      </c>
      <c r="O7" s="43"/>
      <c r="P7" s="56"/>
      <c r="Q7" s="56"/>
      <c r="R7" s="56"/>
      <c r="S7" s="56"/>
      <c r="T7" s="56"/>
      <c r="U7" s="125">
        <v>8</v>
      </c>
      <c r="V7" s="122">
        <f>IF(U7&gt;4,V6,V6+$B$4*8)</f>
        <v>0</v>
      </c>
      <c r="W7" s="124">
        <f t="shared" ref="W7:W37" si="5">VALUE(E7)*24+VALUE(M7)*24+W6</f>
        <v>0</v>
      </c>
    </row>
    <row r="8" spans="1:24" x14ac:dyDescent="0.2">
      <c r="A8" s="8">
        <f t="shared" ref="A8:A37" si="6">A7+1</f>
        <v>44562</v>
      </c>
      <c r="B8" s="9"/>
      <c r="C8" s="9"/>
      <c r="D8" s="3" t="str">
        <f t="shared" si="0"/>
        <v/>
      </c>
      <c r="E8" s="4">
        <f t="shared" si="1"/>
        <v>0</v>
      </c>
      <c r="F8" s="5">
        <f t="shared" si="2"/>
        <v>0</v>
      </c>
      <c r="G8" s="146" t="s">
        <v>84</v>
      </c>
      <c r="H8" s="147"/>
      <c r="I8" s="148"/>
      <c r="J8" s="9"/>
      <c r="K8" s="9"/>
      <c r="L8" s="10"/>
      <c r="M8" s="7">
        <f t="shared" si="3"/>
        <v>0</v>
      </c>
      <c r="N8" s="44">
        <f t="shared" ca="1" si="4"/>
        <v>0</v>
      </c>
      <c r="O8" s="45"/>
      <c r="P8" s="56"/>
      <c r="Q8" s="56"/>
      <c r="R8" s="56"/>
      <c r="S8" s="56"/>
      <c r="T8" s="56"/>
      <c r="U8" s="122">
        <v>8</v>
      </c>
      <c r="V8" s="122">
        <f>IF(U8&gt;4,V7,V7+$B$4*8)</f>
        <v>0</v>
      </c>
      <c r="W8" s="124">
        <f t="shared" si="5"/>
        <v>0</v>
      </c>
      <c r="X8" s="121"/>
    </row>
    <row r="9" spans="1:24" x14ac:dyDescent="0.2">
      <c r="A9" s="8">
        <f t="shared" si="6"/>
        <v>44563</v>
      </c>
      <c r="B9" s="9"/>
      <c r="C9" s="9"/>
      <c r="D9" s="3" t="str">
        <f t="shared" si="0"/>
        <v/>
      </c>
      <c r="E9" s="4">
        <f t="shared" si="1"/>
        <v>0</v>
      </c>
      <c r="F9" s="5">
        <f t="shared" si="2"/>
        <v>0</v>
      </c>
      <c r="G9" s="146"/>
      <c r="H9" s="147"/>
      <c r="I9" s="148"/>
      <c r="J9" s="9"/>
      <c r="K9" s="9"/>
      <c r="L9" s="10"/>
      <c r="M9" s="7">
        <f t="shared" si="3"/>
        <v>0</v>
      </c>
      <c r="N9" s="44">
        <f t="shared" ca="1" si="4"/>
        <v>0</v>
      </c>
      <c r="O9" s="45"/>
      <c r="P9" s="56"/>
      <c r="Q9" s="56"/>
      <c r="R9" s="56"/>
      <c r="S9" s="56"/>
      <c r="T9" s="56"/>
      <c r="U9" s="122">
        <f>IF(A9="",0,WEEKDAY(A9,3))</f>
        <v>5</v>
      </c>
      <c r="V9" s="122">
        <f>IF(U9&gt;4,V8,V8+$B$4*8)</f>
        <v>0</v>
      </c>
      <c r="W9" s="124">
        <f t="shared" si="5"/>
        <v>0</v>
      </c>
      <c r="X9" s="121"/>
    </row>
    <row r="10" spans="1:24" x14ac:dyDescent="0.2">
      <c r="A10" s="8">
        <f t="shared" si="6"/>
        <v>44564</v>
      </c>
      <c r="B10" s="9"/>
      <c r="C10" s="9"/>
      <c r="D10" s="3" t="str">
        <f t="shared" si="0"/>
        <v/>
      </c>
      <c r="E10" s="4">
        <f t="shared" si="1"/>
        <v>0</v>
      </c>
      <c r="F10" s="5">
        <f t="shared" si="2"/>
        <v>0</v>
      </c>
      <c r="G10" s="167"/>
      <c r="H10" s="168"/>
      <c r="I10" s="169"/>
      <c r="J10" s="34"/>
      <c r="K10" s="34"/>
      <c r="L10" s="35"/>
      <c r="M10" s="7">
        <f t="shared" si="3"/>
        <v>0</v>
      </c>
      <c r="N10" s="44">
        <f t="shared" ca="1" si="4"/>
        <v>0</v>
      </c>
      <c r="O10" s="45"/>
      <c r="P10" s="56"/>
      <c r="Q10" s="56"/>
      <c r="R10" s="56"/>
      <c r="S10" s="56"/>
      <c r="T10" s="56"/>
      <c r="U10" s="122">
        <f>IF(A10="",0,WEEKDAY(A10,3))</f>
        <v>6</v>
      </c>
      <c r="V10" s="122">
        <f>IF(U10&gt;4,V9,V9+$B$4*8)</f>
        <v>0</v>
      </c>
      <c r="W10" s="124">
        <f t="shared" si="5"/>
        <v>0</v>
      </c>
      <c r="X10" s="121"/>
    </row>
    <row r="11" spans="1:24" x14ac:dyDescent="0.2">
      <c r="A11" s="8">
        <f t="shared" si="6"/>
        <v>44565</v>
      </c>
      <c r="B11" s="9"/>
      <c r="C11" s="9"/>
      <c r="D11" s="3" t="str">
        <f t="shared" si="0"/>
        <v/>
      </c>
      <c r="E11" s="4">
        <f t="shared" si="1"/>
        <v>0</v>
      </c>
      <c r="F11" s="5">
        <f t="shared" si="2"/>
        <v>0</v>
      </c>
      <c r="G11" s="146" t="s">
        <v>84</v>
      </c>
      <c r="H11" s="147"/>
      <c r="I11" s="148"/>
      <c r="J11" s="9"/>
      <c r="K11" s="9"/>
      <c r="L11" s="10"/>
      <c r="M11" s="7">
        <f t="shared" si="3"/>
        <v>0</v>
      </c>
      <c r="N11" s="44">
        <f t="shared" ca="1" si="4"/>
        <v>0</v>
      </c>
      <c r="O11" s="45"/>
      <c r="P11" s="56"/>
      <c r="Q11" s="56"/>
      <c r="R11" s="56"/>
      <c r="S11" s="56"/>
      <c r="T11" s="56"/>
      <c r="U11" s="122">
        <v>8</v>
      </c>
      <c r="V11" s="125">
        <f>IF(U11&gt;4,V10,V10+$B$4*4)</f>
        <v>0</v>
      </c>
      <c r="W11" s="124">
        <f t="shared" si="5"/>
        <v>0</v>
      </c>
      <c r="X11" s="121"/>
    </row>
    <row r="12" spans="1:24" x14ac:dyDescent="0.2">
      <c r="A12" s="8">
        <f t="shared" si="6"/>
        <v>44566</v>
      </c>
      <c r="B12" s="9"/>
      <c r="C12" s="9"/>
      <c r="D12" s="3" t="str">
        <f t="shared" si="0"/>
        <v/>
      </c>
      <c r="E12" s="4">
        <f t="shared" si="1"/>
        <v>0</v>
      </c>
      <c r="F12" s="5">
        <f t="shared" si="2"/>
        <v>0</v>
      </c>
      <c r="G12" s="156" t="s">
        <v>85</v>
      </c>
      <c r="H12" s="157"/>
      <c r="I12" s="158"/>
      <c r="J12" s="3"/>
      <c r="K12" s="3"/>
      <c r="L12" s="6"/>
      <c r="M12" s="7">
        <f t="shared" si="3"/>
        <v>0</v>
      </c>
      <c r="N12" s="44">
        <f t="shared" ca="1" si="4"/>
        <v>0</v>
      </c>
      <c r="O12" s="45"/>
      <c r="P12" s="56"/>
      <c r="Q12" s="56"/>
      <c r="R12" s="56"/>
      <c r="S12" s="56"/>
      <c r="T12" s="56"/>
      <c r="U12" s="125">
        <v>8</v>
      </c>
      <c r="V12" s="122">
        <f t="shared" ref="V12:V37" si="7">IF(U12&gt;4,V11,V11+$B$4*8)</f>
        <v>0</v>
      </c>
      <c r="W12" s="124">
        <f t="shared" si="5"/>
        <v>0</v>
      </c>
      <c r="X12" s="121"/>
    </row>
    <row r="13" spans="1:24" x14ac:dyDescent="0.2">
      <c r="A13" s="8">
        <f t="shared" si="6"/>
        <v>44567</v>
      </c>
      <c r="B13" s="9">
        <v>0.29166666666666669</v>
      </c>
      <c r="C13" s="9">
        <v>0.64583333333333337</v>
      </c>
      <c r="D13" s="3">
        <f t="shared" si="0"/>
        <v>2.0833333333333332E-2</v>
      </c>
      <c r="E13" s="4">
        <f t="shared" si="1"/>
        <v>0.33333333333333337</v>
      </c>
      <c r="F13" s="5">
        <f t="shared" si="2"/>
        <v>8</v>
      </c>
      <c r="G13" s="146"/>
      <c r="H13" s="147"/>
      <c r="I13" s="148"/>
      <c r="J13" s="9"/>
      <c r="K13" s="9"/>
      <c r="L13" s="10"/>
      <c r="M13" s="7">
        <f t="shared" si="3"/>
        <v>0</v>
      </c>
      <c r="N13" s="44">
        <f t="shared" ca="1" si="4"/>
        <v>0</v>
      </c>
      <c r="O13" s="45"/>
      <c r="P13" s="56"/>
      <c r="Q13" s="56"/>
      <c r="R13" s="56"/>
      <c r="S13" s="56"/>
      <c r="T13" s="56"/>
      <c r="U13" s="122">
        <f t="shared" ref="U13:U37" si="8">IF(A13="",0,WEEKDAY(A13,3))</f>
        <v>2</v>
      </c>
      <c r="V13" s="122">
        <f t="shared" si="7"/>
        <v>8</v>
      </c>
      <c r="W13" s="124">
        <f t="shared" si="5"/>
        <v>8</v>
      </c>
      <c r="X13" s="121"/>
    </row>
    <row r="14" spans="1:24" x14ac:dyDescent="0.2">
      <c r="A14" s="8">
        <f t="shared" si="6"/>
        <v>44568</v>
      </c>
      <c r="B14" s="9">
        <v>0.29166666666666669</v>
      </c>
      <c r="C14" s="9">
        <v>0.64583333333333337</v>
      </c>
      <c r="D14" s="3">
        <f t="shared" si="0"/>
        <v>2.0833333333333332E-2</v>
      </c>
      <c r="E14" s="4">
        <f t="shared" si="1"/>
        <v>0.33333333333333337</v>
      </c>
      <c r="F14" s="5">
        <f t="shared" si="2"/>
        <v>8</v>
      </c>
      <c r="G14" s="146"/>
      <c r="H14" s="147"/>
      <c r="I14" s="148"/>
      <c r="J14" s="9"/>
      <c r="K14" s="9"/>
      <c r="L14" s="10"/>
      <c r="M14" s="7">
        <f t="shared" si="3"/>
        <v>0</v>
      </c>
      <c r="N14" s="44">
        <f t="shared" ca="1" si="4"/>
        <v>0</v>
      </c>
      <c r="O14" s="45"/>
      <c r="P14" s="56"/>
      <c r="Q14" s="56"/>
      <c r="R14" s="56"/>
      <c r="S14" s="56"/>
      <c r="T14" s="56"/>
      <c r="U14" s="122">
        <f t="shared" si="8"/>
        <v>3</v>
      </c>
      <c r="V14" s="122">
        <f t="shared" si="7"/>
        <v>16</v>
      </c>
      <c r="W14" s="124">
        <f t="shared" si="5"/>
        <v>16</v>
      </c>
      <c r="X14" s="121"/>
    </row>
    <row r="15" spans="1:24" x14ac:dyDescent="0.2">
      <c r="A15" s="8">
        <f t="shared" si="6"/>
        <v>44569</v>
      </c>
      <c r="B15" s="9">
        <v>0.29166666666666669</v>
      </c>
      <c r="C15" s="9">
        <v>0.64583333333333337</v>
      </c>
      <c r="D15" s="3">
        <f t="shared" si="0"/>
        <v>2.0833333333333332E-2</v>
      </c>
      <c r="E15" s="4">
        <f t="shared" si="1"/>
        <v>0.33333333333333337</v>
      </c>
      <c r="F15" s="5">
        <f t="shared" si="2"/>
        <v>8</v>
      </c>
      <c r="G15" s="146"/>
      <c r="H15" s="147"/>
      <c r="I15" s="148"/>
      <c r="J15" s="9"/>
      <c r="K15" s="9"/>
      <c r="L15" s="10"/>
      <c r="M15" s="7">
        <f t="shared" si="3"/>
        <v>0</v>
      </c>
      <c r="N15" s="44">
        <f t="shared" ca="1" si="4"/>
        <v>0</v>
      </c>
      <c r="O15" s="45"/>
      <c r="P15" s="56"/>
      <c r="Q15" s="56"/>
      <c r="R15" s="56"/>
      <c r="S15" s="56"/>
      <c r="T15" s="56"/>
      <c r="U15" s="122">
        <f t="shared" si="8"/>
        <v>4</v>
      </c>
      <c r="V15" s="122">
        <f t="shared" si="7"/>
        <v>24</v>
      </c>
      <c r="W15" s="124">
        <f t="shared" si="5"/>
        <v>24</v>
      </c>
    </row>
    <row r="16" spans="1:24" x14ac:dyDescent="0.2">
      <c r="A16" s="8">
        <f t="shared" si="6"/>
        <v>44570</v>
      </c>
      <c r="B16" s="9"/>
      <c r="C16" s="9"/>
      <c r="D16" s="3" t="str">
        <f t="shared" si="0"/>
        <v/>
      </c>
      <c r="E16" s="4">
        <f t="shared" si="1"/>
        <v>0</v>
      </c>
      <c r="F16" s="5">
        <f t="shared" si="2"/>
        <v>0</v>
      </c>
      <c r="G16" s="146"/>
      <c r="H16" s="147"/>
      <c r="I16" s="148"/>
      <c r="J16" s="9"/>
      <c r="K16" s="9"/>
      <c r="L16" s="10"/>
      <c r="M16" s="7">
        <f t="shared" si="3"/>
        <v>0</v>
      </c>
      <c r="N16" s="44">
        <f t="shared" ca="1" si="4"/>
        <v>0</v>
      </c>
      <c r="O16" s="45"/>
      <c r="P16" s="56"/>
      <c r="Q16" s="56"/>
      <c r="R16" s="56"/>
      <c r="S16" s="56"/>
      <c r="T16" s="56"/>
      <c r="U16" s="122">
        <f t="shared" si="8"/>
        <v>5</v>
      </c>
      <c r="V16" s="122">
        <f t="shared" si="7"/>
        <v>24</v>
      </c>
      <c r="W16" s="124">
        <f t="shared" si="5"/>
        <v>24</v>
      </c>
    </row>
    <row r="17" spans="1:23" x14ac:dyDescent="0.2">
      <c r="A17" s="8">
        <f t="shared" si="6"/>
        <v>44571</v>
      </c>
      <c r="B17" s="9"/>
      <c r="C17" s="9"/>
      <c r="D17" s="3" t="str">
        <f t="shared" si="0"/>
        <v/>
      </c>
      <c r="E17" s="4">
        <f t="shared" si="1"/>
        <v>0</v>
      </c>
      <c r="F17" s="5">
        <f t="shared" si="2"/>
        <v>0</v>
      </c>
      <c r="G17" s="146"/>
      <c r="H17" s="147"/>
      <c r="I17" s="148"/>
      <c r="J17" s="9"/>
      <c r="K17" s="9"/>
      <c r="L17" s="10"/>
      <c r="M17" s="7">
        <f t="shared" si="3"/>
        <v>0</v>
      </c>
      <c r="N17" s="44">
        <f t="shared" ca="1" si="4"/>
        <v>0</v>
      </c>
      <c r="O17" s="45"/>
      <c r="P17" s="56"/>
      <c r="Q17" s="56"/>
      <c r="R17" s="56"/>
      <c r="S17" s="56"/>
      <c r="T17" s="56"/>
      <c r="U17" s="122">
        <f t="shared" si="8"/>
        <v>6</v>
      </c>
      <c r="V17" s="122">
        <f t="shared" si="7"/>
        <v>24</v>
      </c>
      <c r="W17" s="124">
        <f t="shared" si="5"/>
        <v>24</v>
      </c>
    </row>
    <row r="18" spans="1:23" x14ac:dyDescent="0.2">
      <c r="A18" s="8">
        <f t="shared" si="6"/>
        <v>44572</v>
      </c>
      <c r="B18" s="9">
        <v>0.29166666666666669</v>
      </c>
      <c r="C18" s="9">
        <v>0.64583333333333337</v>
      </c>
      <c r="D18" s="3">
        <f t="shared" si="0"/>
        <v>2.0833333333333332E-2</v>
      </c>
      <c r="E18" s="4">
        <f t="shared" si="1"/>
        <v>0.33333333333333337</v>
      </c>
      <c r="F18" s="5">
        <f t="shared" si="2"/>
        <v>8</v>
      </c>
      <c r="G18" s="146"/>
      <c r="H18" s="147"/>
      <c r="I18" s="148"/>
      <c r="J18" s="9"/>
      <c r="K18" s="9"/>
      <c r="L18" s="10"/>
      <c r="M18" s="7">
        <f t="shared" si="3"/>
        <v>0</v>
      </c>
      <c r="N18" s="44">
        <f t="shared" ca="1" si="4"/>
        <v>0</v>
      </c>
      <c r="O18" s="45"/>
      <c r="P18" s="56"/>
      <c r="Q18" s="56"/>
      <c r="R18" s="56"/>
      <c r="S18" s="56"/>
      <c r="T18" s="56"/>
      <c r="U18" s="122">
        <f t="shared" si="8"/>
        <v>0</v>
      </c>
      <c r="V18" s="122">
        <f t="shared" si="7"/>
        <v>32</v>
      </c>
      <c r="W18" s="124">
        <f t="shared" si="5"/>
        <v>32</v>
      </c>
    </row>
    <row r="19" spans="1:23" x14ac:dyDescent="0.2">
      <c r="A19" s="8">
        <f t="shared" si="6"/>
        <v>44573</v>
      </c>
      <c r="B19" s="9">
        <v>0.29166666666666669</v>
      </c>
      <c r="C19" s="9">
        <v>0.66666666666666663</v>
      </c>
      <c r="D19" s="3">
        <f t="shared" si="0"/>
        <v>2.0833333333333332E-2</v>
      </c>
      <c r="E19" s="4">
        <f t="shared" si="1"/>
        <v>0.35416666666666663</v>
      </c>
      <c r="F19" s="5">
        <f t="shared" si="2"/>
        <v>8.5</v>
      </c>
      <c r="G19" s="146"/>
      <c r="H19" s="147"/>
      <c r="I19" s="148"/>
      <c r="J19" s="9"/>
      <c r="K19" s="9"/>
      <c r="L19" s="10"/>
      <c r="M19" s="7">
        <f t="shared" si="3"/>
        <v>0</v>
      </c>
      <c r="N19" s="44">
        <f t="shared" ca="1" si="4"/>
        <v>0.5</v>
      </c>
      <c r="O19" s="45"/>
      <c r="P19" s="56"/>
      <c r="Q19" s="56"/>
      <c r="R19" s="56"/>
      <c r="S19" s="56"/>
      <c r="T19" s="56"/>
      <c r="U19" s="122">
        <f t="shared" si="8"/>
        <v>1</v>
      </c>
      <c r="V19" s="122">
        <f t="shared" si="7"/>
        <v>40</v>
      </c>
      <c r="W19" s="124">
        <f t="shared" si="5"/>
        <v>40.5</v>
      </c>
    </row>
    <row r="20" spans="1:23" x14ac:dyDescent="0.2">
      <c r="A20" s="8">
        <f t="shared" si="6"/>
        <v>44574</v>
      </c>
      <c r="B20" s="9">
        <v>0.29166666666666669</v>
      </c>
      <c r="C20" s="144">
        <v>0.64583333333333337</v>
      </c>
      <c r="D20" s="3">
        <f t="shared" si="0"/>
        <v>2.0833333333333332E-2</v>
      </c>
      <c r="E20" s="4">
        <f t="shared" si="1"/>
        <v>0.33333333333333337</v>
      </c>
      <c r="F20" s="5">
        <f t="shared" si="2"/>
        <v>8</v>
      </c>
      <c r="G20" s="146"/>
      <c r="H20" s="147"/>
      <c r="I20" s="148"/>
      <c r="J20" s="9"/>
      <c r="K20" s="9"/>
      <c r="L20" s="10"/>
      <c r="M20" s="7">
        <f t="shared" si="3"/>
        <v>0</v>
      </c>
      <c r="N20" s="44">
        <f t="shared" ca="1" si="4"/>
        <v>0.5</v>
      </c>
      <c r="O20" s="45"/>
      <c r="P20" s="56"/>
      <c r="Q20" s="56"/>
      <c r="R20" s="56"/>
      <c r="S20" s="56"/>
      <c r="T20" s="56"/>
      <c r="U20" s="122">
        <f t="shared" si="8"/>
        <v>2</v>
      </c>
      <c r="V20" s="122">
        <f t="shared" si="7"/>
        <v>48</v>
      </c>
      <c r="W20" s="124">
        <f t="shared" si="5"/>
        <v>48.5</v>
      </c>
    </row>
    <row r="21" spans="1:23" x14ac:dyDescent="0.2">
      <c r="A21" s="8">
        <f t="shared" si="6"/>
        <v>44575</v>
      </c>
      <c r="B21" s="9">
        <v>0.29166666666666669</v>
      </c>
      <c r="C21" s="9">
        <v>0.66666666666666663</v>
      </c>
      <c r="D21" s="3">
        <f t="shared" si="0"/>
        <v>2.0833333333333332E-2</v>
      </c>
      <c r="E21" s="4">
        <f t="shared" si="1"/>
        <v>0.35416666666666663</v>
      </c>
      <c r="F21" s="5">
        <f t="shared" si="2"/>
        <v>8.5</v>
      </c>
      <c r="G21" s="146"/>
      <c r="H21" s="147"/>
      <c r="I21" s="148"/>
      <c r="J21" s="9"/>
      <c r="K21" s="9"/>
      <c r="L21" s="10"/>
      <c r="M21" s="7">
        <f t="shared" si="3"/>
        <v>0</v>
      </c>
      <c r="N21" s="44">
        <f t="shared" ca="1" si="4"/>
        <v>1</v>
      </c>
      <c r="O21" s="45"/>
      <c r="P21" s="56"/>
      <c r="Q21" s="56"/>
      <c r="R21" s="56"/>
      <c r="S21" s="56"/>
      <c r="T21" s="56"/>
      <c r="U21" s="122">
        <f t="shared" si="8"/>
        <v>3</v>
      </c>
      <c r="V21" s="122">
        <f t="shared" si="7"/>
        <v>56</v>
      </c>
      <c r="W21" s="124">
        <f t="shared" si="5"/>
        <v>57</v>
      </c>
    </row>
    <row r="22" spans="1:23" x14ac:dyDescent="0.2">
      <c r="A22" s="8">
        <f t="shared" si="6"/>
        <v>44576</v>
      </c>
      <c r="B22" s="9">
        <v>0.29166666666666669</v>
      </c>
      <c r="C22" s="144">
        <v>0.64583333333333337</v>
      </c>
      <c r="D22" s="3">
        <f t="shared" si="0"/>
        <v>2.0833333333333332E-2</v>
      </c>
      <c r="E22" s="4">
        <f t="shared" si="1"/>
        <v>0.33333333333333337</v>
      </c>
      <c r="F22" s="5">
        <f t="shared" si="2"/>
        <v>8</v>
      </c>
      <c r="G22" s="146"/>
      <c r="H22" s="147"/>
      <c r="I22" s="148"/>
      <c r="J22" s="9"/>
      <c r="K22" s="9"/>
      <c r="L22" s="10"/>
      <c r="M22" s="7">
        <f t="shared" si="3"/>
        <v>0</v>
      </c>
      <c r="N22" s="44">
        <f t="shared" ca="1" si="4"/>
        <v>1</v>
      </c>
      <c r="O22" s="45"/>
      <c r="P22" s="56"/>
      <c r="Q22" s="56"/>
      <c r="R22" s="56"/>
      <c r="S22" s="56"/>
      <c r="T22" s="56"/>
      <c r="U22" s="122">
        <f t="shared" si="8"/>
        <v>4</v>
      </c>
      <c r="V22" s="122">
        <f t="shared" si="7"/>
        <v>64</v>
      </c>
      <c r="W22" s="124">
        <f t="shared" si="5"/>
        <v>65</v>
      </c>
    </row>
    <row r="23" spans="1:23" x14ac:dyDescent="0.2">
      <c r="A23" s="8">
        <f t="shared" si="6"/>
        <v>44577</v>
      </c>
      <c r="B23" s="9"/>
      <c r="C23" s="9"/>
      <c r="D23" s="3" t="str">
        <f t="shared" si="0"/>
        <v/>
      </c>
      <c r="E23" s="4">
        <f t="shared" si="1"/>
        <v>0</v>
      </c>
      <c r="F23" s="5">
        <f t="shared" si="2"/>
        <v>0</v>
      </c>
      <c r="G23" s="146"/>
      <c r="H23" s="147"/>
      <c r="I23" s="148"/>
      <c r="J23" s="9"/>
      <c r="K23" s="9"/>
      <c r="L23" s="10"/>
      <c r="M23" s="7">
        <f t="shared" si="3"/>
        <v>0</v>
      </c>
      <c r="N23" s="44">
        <f t="shared" ca="1" si="4"/>
        <v>1</v>
      </c>
      <c r="O23" s="45"/>
      <c r="P23" s="56"/>
      <c r="Q23" s="56"/>
      <c r="R23" s="56"/>
      <c r="S23" s="56"/>
      <c r="T23" s="56"/>
      <c r="U23" s="122">
        <f t="shared" si="8"/>
        <v>5</v>
      </c>
      <c r="V23" s="122">
        <f t="shared" si="7"/>
        <v>64</v>
      </c>
      <c r="W23" s="124">
        <f t="shared" si="5"/>
        <v>65</v>
      </c>
    </row>
    <row r="24" spans="1:23" x14ac:dyDescent="0.2">
      <c r="A24" s="8">
        <f t="shared" si="6"/>
        <v>44578</v>
      </c>
      <c r="B24" s="9"/>
      <c r="C24" s="9"/>
      <c r="D24" s="3" t="str">
        <f t="shared" si="0"/>
        <v/>
      </c>
      <c r="E24" s="4">
        <f t="shared" si="1"/>
        <v>0</v>
      </c>
      <c r="F24" s="5">
        <f t="shared" si="2"/>
        <v>0</v>
      </c>
      <c r="G24" s="146"/>
      <c r="H24" s="147"/>
      <c r="I24" s="148"/>
      <c r="J24" s="9"/>
      <c r="K24" s="9"/>
      <c r="L24" s="10"/>
      <c r="M24" s="7">
        <f t="shared" si="3"/>
        <v>0</v>
      </c>
      <c r="N24" s="44">
        <f t="shared" ca="1" si="4"/>
        <v>1</v>
      </c>
      <c r="O24" s="45"/>
      <c r="P24" s="56"/>
      <c r="Q24" s="56"/>
      <c r="R24" s="56"/>
      <c r="S24" s="56"/>
      <c r="T24" s="56"/>
      <c r="U24" s="122">
        <f t="shared" si="8"/>
        <v>6</v>
      </c>
      <c r="V24" s="122">
        <f t="shared" si="7"/>
        <v>64</v>
      </c>
      <c r="W24" s="124">
        <f t="shared" si="5"/>
        <v>65</v>
      </c>
    </row>
    <row r="25" spans="1:23" x14ac:dyDescent="0.2">
      <c r="A25" s="8">
        <f t="shared" si="6"/>
        <v>44579</v>
      </c>
      <c r="B25" s="9">
        <v>0.29166666666666669</v>
      </c>
      <c r="C25" s="9">
        <v>0.66666666666666663</v>
      </c>
      <c r="D25" s="3">
        <f t="shared" si="0"/>
        <v>2.0833333333333332E-2</v>
      </c>
      <c r="E25" s="4">
        <f t="shared" si="1"/>
        <v>0.35416666666666663</v>
      </c>
      <c r="F25" s="5">
        <f t="shared" si="2"/>
        <v>8.5</v>
      </c>
      <c r="G25" s="146"/>
      <c r="H25" s="147"/>
      <c r="I25" s="148"/>
      <c r="J25" s="9"/>
      <c r="K25" s="9"/>
      <c r="L25" s="10"/>
      <c r="M25" s="7">
        <f t="shared" si="3"/>
        <v>0</v>
      </c>
      <c r="N25" s="44">
        <f t="shared" ca="1" si="4"/>
        <v>1.5</v>
      </c>
      <c r="O25" s="45"/>
      <c r="P25" s="56"/>
      <c r="Q25" s="56"/>
      <c r="R25" s="56"/>
      <c r="S25" s="56"/>
      <c r="T25" s="56"/>
      <c r="U25" s="122">
        <f t="shared" si="8"/>
        <v>0</v>
      </c>
      <c r="V25" s="122">
        <f t="shared" si="7"/>
        <v>72</v>
      </c>
      <c r="W25" s="124">
        <f t="shared" si="5"/>
        <v>73.5</v>
      </c>
    </row>
    <row r="26" spans="1:23" x14ac:dyDescent="0.2">
      <c r="A26" s="8">
        <f t="shared" si="6"/>
        <v>44580</v>
      </c>
      <c r="B26" s="9">
        <v>0.29166666666666669</v>
      </c>
      <c r="C26" s="9">
        <v>0.66666666666666663</v>
      </c>
      <c r="D26" s="3">
        <f t="shared" si="0"/>
        <v>2.0833333333333332E-2</v>
      </c>
      <c r="E26" s="4">
        <f t="shared" si="1"/>
        <v>0.35416666666666663</v>
      </c>
      <c r="F26" s="5">
        <f t="shared" si="2"/>
        <v>8.5</v>
      </c>
      <c r="G26" s="146"/>
      <c r="H26" s="147"/>
      <c r="I26" s="148"/>
      <c r="J26" s="9"/>
      <c r="K26" s="9"/>
      <c r="L26" s="10"/>
      <c r="M26" s="7">
        <f t="shared" si="3"/>
        <v>0</v>
      </c>
      <c r="N26" s="44">
        <f t="shared" ca="1" si="4"/>
        <v>2</v>
      </c>
      <c r="O26" s="45"/>
      <c r="P26" s="56"/>
      <c r="Q26" s="56"/>
      <c r="R26" s="56"/>
      <c r="S26" s="56"/>
      <c r="T26" s="56"/>
      <c r="U26" s="122">
        <f t="shared" si="8"/>
        <v>1</v>
      </c>
      <c r="V26" s="122">
        <f t="shared" si="7"/>
        <v>80</v>
      </c>
      <c r="W26" s="124">
        <f t="shared" si="5"/>
        <v>82</v>
      </c>
    </row>
    <row r="27" spans="1:23" x14ac:dyDescent="0.2">
      <c r="A27" s="8">
        <f t="shared" si="6"/>
        <v>44581</v>
      </c>
      <c r="B27" s="9">
        <v>0.29166666666666669</v>
      </c>
      <c r="C27" s="9">
        <v>0.64583333333333337</v>
      </c>
      <c r="D27" s="3">
        <f t="shared" si="0"/>
        <v>2.0833333333333332E-2</v>
      </c>
      <c r="E27" s="4">
        <f t="shared" si="1"/>
        <v>0.33333333333333337</v>
      </c>
      <c r="F27" s="5">
        <f t="shared" si="2"/>
        <v>8</v>
      </c>
      <c r="G27" s="146"/>
      <c r="H27" s="147"/>
      <c r="I27" s="148"/>
      <c r="J27" s="9"/>
      <c r="K27" s="9"/>
      <c r="L27" s="10"/>
      <c r="M27" s="7">
        <f t="shared" si="3"/>
        <v>0</v>
      </c>
      <c r="N27" s="44">
        <f t="shared" ca="1" si="4"/>
        <v>2</v>
      </c>
      <c r="O27" s="45"/>
      <c r="P27" s="56"/>
      <c r="Q27" s="56"/>
      <c r="R27" s="56"/>
      <c r="S27" s="56"/>
      <c r="T27" s="56"/>
      <c r="U27" s="122">
        <f t="shared" si="8"/>
        <v>2</v>
      </c>
      <c r="V27" s="122">
        <f t="shared" si="7"/>
        <v>88</v>
      </c>
      <c r="W27" s="124">
        <f t="shared" si="5"/>
        <v>90</v>
      </c>
    </row>
    <row r="28" spans="1:23" x14ac:dyDescent="0.2">
      <c r="A28" s="8">
        <f t="shared" si="6"/>
        <v>44582</v>
      </c>
      <c r="B28" s="9">
        <v>0.29166666666666669</v>
      </c>
      <c r="C28" s="9">
        <v>0.64583333333333337</v>
      </c>
      <c r="D28" s="3">
        <f t="shared" si="0"/>
        <v>2.0833333333333332E-2</v>
      </c>
      <c r="E28" s="4">
        <f t="shared" si="1"/>
        <v>0.33333333333333337</v>
      </c>
      <c r="F28" s="5">
        <f t="shared" si="2"/>
        <v>8</v>
      </c>
      <c r="G28" s="146"/>
      <c r="H28" s="147"/>
      <c r="I28" s="148"/>
      <c r="J28" s="9"/>
      <c r="K28" s="9"/>
      <c r="L28" s="10"/>
      <c r="M28" s="7">
        <f t="shared" si="3"/>
        <v>0</v>
      </c>
      <c r="N28" s="44">
        <f t="shared" ca="1" si="4"/>
        <v>2</v>
      </c>
      <c r="O28" s="45"/>
      <c r="P28" s="56"/>
      <c r="Q28" s="56"/>
      <c r="R28" s="56"/>
      <c r="S28" s="56"/>
      <c r="T28" s="56"/>
      <c r="U28" s="122">
        <f t="shared" si="8"/>
        <v>3</v>
      </c>
      <c r="V28" s="122">
        <f t="shared" si="7"/>
        <v>96</v>
      </c>
      <c r="W28" s="124">
        <f t="shared" si="5"/>
        <v>98</v>
      </c>
    </row>
    <row r="29" spans="1:23" x14ac:dyDescent="0.2">
      <c r="A29" s="8">
        <f t="shared" si="6"/>
        <v>44583</v>
      </c>
      <c r="B29" s="9">
        <v>0.29166666666666669</v>
      </c>
      <c r="C29" s="9">
        <v>0.64583333333333337</v>
      </c>
      <c r="D29" s="3">
        <f t="shared" si="0"/>
        <v>2.0833333333333332E-2</v>
      </c>
      <c r="E29" s="4">
        <f t="shared" si="1"/>
        <v>0.33333333333333337</v>
      </c>
      <c r="F29" s="5">
        <f t="shared" si="2"/>
        <v>8</v>
      </c>
      <c r="G29" s="146"/>
      <c r="H29" s="147"/>
      <c r="I29" s="148"/>
      <c r="J29" s="9"/>
      <c r="K29" s="9"/>
      <c r="L29" s="10"/>
      <c r="M29" s="7">
        <f t="shared" si="3"/>
        <v>0</v>
      </c>
      <c r="N29" s="44">
        <f t="shared" ca="1" si="4"/>
        <v>2</v>
      </c>
      <c r="O29" s="45"/>
      <c r="P29" s="56"/>
      <c r="Q29" s="56"/>
      <c r="R29" s="56"/>
      <c r="S29" s="56"/>
      <c r="T29" s="56"/>
      <c r="U29" s="122">
        <f t="shared" si="8"/>
        <v>4</v>
      </c>
      <c r="V29" s="122">
        <f t="shared" si="7"/>
        <v>104</v>
      </c>
      <c r="W29" s="124">
        <f t="shared" si="5"/>
        <v>106</v>
      </c>
    </row>
    <row r="30" spans="1:23" x14ac:dyDescent="0.2">
      <c r="A30" s="8">
        <f t="shared" si="6"/>
        <v>44584</v>
      </c>
      <c r="B30" s="9"/>
      <c r="C30" s="9"/>
      <c r="D30" s="3" t="str">
        <f t="shared" si="0"/>
        <v/>
      </c>
      <c r="E30" s="4">
        <f t="shared" si="1"/>
        <v>0</v>
      </c>
      <c r="F30" s="5">
        <f t="shared" si="2"/>
        <v>0</v>
      </c>
      <c r="G30" s="146"/>
      <c r="H30" s="147"/>
      <c r="I30" s="148"/>
      <c r="J30" s="9"/>
      <c r="K30" s="9"/>
      <c r="L30" s="10"/>
      <c r="M30" s="7">
        <f t="shared" si="3"/>
        <v>0</v>
      </c>
      <c r="N30" s="44">
        <f t="shared" ca="1" si="4"/>
        <v>2</v>
      </c>
      <c r="O30" s="45"/>
      <c r="P30" s="56"/>
      <c r="Q30" s="56"/>
      <c r="R30" s="56"/>
      <c r="S30" s="56"/>
      <c r="T30" s="56"/>
      <c r="U30" s="122">
        <f t="shared" si="8"/>
        <v>5</v>
      </c>
      <c r="V30" s="122">
        <f t="shared" si="7"/>
        <v>104</v>
      </c>
      <c r="W30" s="124">
        <f t="shared" si="5"/>
        <v>106</v>
      </c>
    </row>
    <row r="31" spans="1:23" x14ac:dyDescent="0.2">
      <c r="A31" s="8">
        <f t="shared" si="6"/>
        <v>44585</v>
      </c>
      <c r="B31" s="9"/>
      <c r="C31" s="9"/>
      <c r="D31" s="3" t="str">
        <f t="shared" si="0"/>
        <v/>
      </c>
      <c r="E31" s="4">
        <f t="shared" si="1"/>
        <v>0</v>
      </c>
      <c r="F31" s="5">
        <f t="shared" si="2"/>
        <v>0</v>
      </c>
      <c r="G31" s="146"/>
      <c r="H31" s="147"/>
      <c r="I31" s="148"/>
      <c r="J31" s="9"/>
      <c r="K31" s="9"/>
      <c r="L31" s="10"/>
      <c r="M31" s="7">
        <f t="shared" si="3"/>
        <v>0</v>
      </c>
      <c r="N31" s="44">
        <f t="shared" ca="1" si="4"/>
        <v>2</v>
      </c>
      <c r="O31" s="45"/>
      <c r="P31" s="56"/>
      <c r="Q31" s="56"/>
      <c r="R31" s="56"/>
      <c r="S31" s="56"/>
      <c r="T31" s="56"/>
      <c r="U31" s="122">
        <f t="shared" si="8"/>
        <v>6</v>
      </c>
      <c r="V31" s="122">
        <f t="shared" si="7"/>
        <v>104</v>
      </c>
      <c r="W31" s="124">
        <f t="shared" si="5"/>
        <v>106</v>
      </c>
    </row>
    <row r="32" spans="1:23" x14ac:dyDescent="0.2">
      <c r="A32" s="8">
        <f t="shared" si="6"/>
        <v>44586</v>
      </c>
      <c r="B32" s="9">
        <v>0.29166666666666669</v>
      </c>
      <c r="C32" s="9">
        <v>0.64583333333333337</v>
      </c>
      <c r="D32" s="3">
        <f t="shared" si="0"/>
        <v>2.0833333333333332E-2</v>
      </c>
      <c r="E32" s="4">
        <f t="shared" si="1"/>
        <v>0.33333333333333337</v>
      </c>
      <c r="F32" s="5">
        <f t="shared" si="2"/>
        <v>8</v>
      </c>
      <c r="G32" s="146"/>
      <c r="H32" s="147"/>
      <c r="I32" s="148"/>
      <c r="J32" s="9"/>
      <c r="K32" s="9"/>
      <c r="L32" s="10"/>
      <c r="M32" s="7">
        <f t="shared" si="3"/>
        <v>0</v>
      </c>
      <c r="N32" s="44">
        <f t="shared" ca="1" si="4"/>
        <v>2</v>
      </c>
      <c r="O32" s="45"/>
      <c r="P32" s="56"/>
      <c r="Q32" s="56"/>
      <c r="R32" s="56"/>
      <c r="S32" s="56"/>
      <c r="T32" s="56"/>
      <c r="U32" s="122">
        <f t="shared" si="8"/>
        <v>0</v>
      </c>
      <c r="V32" s="122">
        <f t="shared" si="7"/>
        <v>112</v>
      </c>
      <c r="W32" s="124">
        <f t="shared" si="5"/>
        <v>114</v>
      </c>
    </row>
    <row r="33" spans="1:23" x14ac:dyDescent="0.2">
      <c r="A33" s="8">
        <f t="shared" si="6"/>
        <v>44587</v>
      </c>
      <c r="B33" s="9">
        <v>0.29166666666666669</v>
      </c>
      <c r="C33" s="9">
        <v>0.64583333333333337</v>
      </c>
      <c r="D33" s="3">
        <f t="shared" si="0"/>
        <v>2.0833333333333332E-2</v>
      </c>
      <c r="E33" s="4">
        <f t="shared" si="1"/>
        <v>0.33333333333333337</v>
      </c>
      <c r="F33" s="5">
        <f t="shared" si="2"/>
        <v>8</v>
      </c>
      <c r="G33" s="146"/>
      <c r="H33" s="147"/>
      <c r="I33" s="148"/>
      <c r="J33" s="9"/>
      <c r="K33" s="9"/>
      <c r="L33" s="10"/>
      <c r="M33" s="7">
        <f t="shared" si="3"/>
        <v>0</v>
      </c>
      <c r="N33" s="44">
        <f t="shared" ca="1" si="4"/>
        <v>2</v>
      </c>
      <c r="O33" s="45"/>
      <c r="P33" s="56"/>
      <c r="Q33" s="56"/>
      <c r="R33" s="56"/>
      <c r="S33" s="56"/>
      <c r="T33" s="56"/>
      <c r="U33" s="122">
        <f t="shared" si="8"/>
        <v>1</v>
      </c>
      <c r="V33" s="122">
        <f t="shared" si="7"/>
        <v>120</v>
      </c>
      <c r="W33" s="124">
        <f t="shared" si="5"/>
        <v>122</v>
      </c>
    </row>
    <row r="34" spans="1:23" x14ac:dyDescent="0.2">
      <c r="A34" s="8">
        <f t="shared" si="6"/>
        <v>44588</v>
      </c>
      <c r="B34" s="9">
        <v>0.29166666666666669</v>
      </c>
      <c r="C34" s="9">
        <v>0.64583333333333337</v>
      </c>
      <c r="D34" s="3">
        <f t="shared" si="0"/>
        <v>2.0833333333333332E-2</v>
      </c>
      <c r="E34" s="4">
        <f t="shared" si="1"/>
        <v>0.33333333333333337</v>
      </c>
      <c r="F34" s="5">
        <f t="shared" si="2"/>
        <v>8</v>
      </c>
      <c r="G34" s="146"/>
      <c r="H34" s="147"/>
      <c r="I34" s="148"/>
      <c r="J34" s="9"/>
      <c r="K34" s="9"/>
      <c r="L34" s="10"/>
      <c r="M34" s="7">
        <f t="shared" si="3"/>
        <v>0</v>
      </c>
      <c r="N34" s="44">
        <f t="shared" ca="1" si="4"/>
        <v>2</v>
      </c>
      <c r="O34" s="45"/>
      <c r="P34" s="56"/>
      <c r="Q34" s="56"/>
      <c r="R34" s="56"/>
      <c r="S34" s="56"/>
      <c r="T34" s="56"/>
      <c r="U34" s="122">
        <f t="shared" si="8"/>
        <v>2</v>
      </c>
      <c r="V34" s="122">
        <f t="shared" si="7"/>
        <v>128</v>
      </c>
      <c r="W34" s="124">
        <f t="shared" si="5"/>
        <v>130</v>
      </c>
    </row>
    <row r="35" spans="1:23" x14ac:dyDescent="0.2">
      <c r="A35" s="8">
        <f t="shared" si="6"/>
        <v>44589</v>
      </c>
      <c r="B35" s="9">
        <v>0.29166666666666669</v>
      </c>
      <c r="C35" s="9">
        <v>0.64583333333333337</v>
      </c>
      <c r="D35" s="3">
        <f t="shared" si="0"/>
        <v>2.0833333333333332E-2</v>
      </c>
      <c r="E35" s="4">
        <f t="shared" si="1"/>
        <v>0.33333333333333337</v>
      </c>
      <c r="F35" s="5">
        <f t="shared" si="2"/>
        <v>8</v>
      </c>
      <c r="G35" s="146"/>
      <c r="H35" s="147"/>
      <c r="I35" s="148"/>
      <c r="J35" s="9"/>
      <c r="K35" s="9"/>
      <c r="L35" s="10"/>
      <c r="M35" s="7">
        <f t="shared" si="3"/>
        <v>0</v>
      </c>
      <c r="N35" s="44">
        <f t="shared" ca="1" si="4"/>
        <v>2</v>
      </c>
      <c r="O35" s="45"/>
      <c r="P35" s="56"/>
      <c r="Q35" s="56"/>
      <c r="R35" s="56"/>
      <c r="S35" s="56"/>
      <c r="T35" s="56"/>
      <c r="U35" s="122">
        <f t="shared" si="8"/>
        <v>3</v>
      </c>
      <c r="V35" s="122">
        <f t="shared" si="7"/>
        <v>136</v>
      </c>
      <c r="W35" s="124">
        <f t="shared" si="5"/>
        <v>138</v>
      </c>
    </row>
    <row r="36" spans="1:23" x14ac:dyDescent="0.2">
      <c r="A36" s="8">
        <f t="shared" si="6"/>
        <v>44590</v>
      </c>
      <c r="B36" s="9">
        <v>0.29166666666666669</v>
      </c>
      <c r="C36" s="9">
        <v>0.64583333333333337</v>
      </c>
      <c r="D36" s="3">
        <f t="shared" si="0"/>
        <v>2.0833333333333332E-2</v>
      </c>
      <c r="E36" s="4">
        <f t="shared" si="1"/>
        <v>0.33333333333333337</v>
      </c>
      <c r="F36" s="5">
        <f t="shared" si="2"/>
        <v>8</v>
      </c>
      <c r="G36" s="146"/>
      <c r="H36" s="147"/>
      <c r="I36" s="148"/>
      <c r="J36" s="9"/>
      <c r="K36" s="9"/>
      <c r="L36" s="10"/>
      <c r="M36" s="7">
        <f t="shared" si="3"/>
        <v>0</v>
      </c>
      <c r="N36" s="44">
        <f t="shared" ca="1" si="4"/>
        <v>2</v>
      </c>
      <c r="O36" s="45"/>
      <c r="P36" s="56"/>
      <c r="Q36" s="56"/>
      <c r="R36" s="56"/>
      <c r="S36" s="56"/>
      <c r="T36" s="56"/>
      <c r="U36" s="122">
        <f t="shared" si="8"/>
        <v>4</v>
      </c>
      <c r="V36" s="122">
        <f t="shared" si="7"/>
        <v>144</v>
      </c>
      <c r="W36" s="124">
        <f t="shared" si="5"/>
        <v>146</v>
      </c>
    </row>
    <row r="37" spans="1:23" x14ac:dyDescent="0.2">
      <c r="A37" s="8">
        <f t="shared" si="6"/>
        <v>44591</v>
      </c>
      <c r="B37" s="9"/>
      <c r="C37" s="9"/>
      <c r="D37" s="3" t="str">
        <f t="shared" si="0"/>
        <v/>
      </c>
      <c r="E37" s="4">
        <f t="shared" si="1"/>
        <v>0</v>
      </c>
      <c r="F37" s="5">
        <f t="shared" si="2"/>
        <v>0</v>
      </c>
      <c r="G37" s="146"/>
      <c r="H37" s="147"/>
      <c r="I37" s="148"/>
      <c r="J37" s="9"/>
      <c r="K37" s="9"/>
      <c r="L37" s="10"/>
      <c r="M37" s="7">
        <f t="shared" si="3"/>
        <v>0</v>
      </c>
      <c r="N37" s="44">
        <f t="shared" ca="1" si="4"/>
        <v>2</v>
      </c>
      <c r="O37" s="45"/>
      <c r="P37" s="56"/>
      <c r="Q37" s="56"/>
      <c r="R37" s="56"/>
      <c r="S37" s="56"/>
      <c r="T37" s="56"/>
      <c r="U37" s="122">
        <f t="shared" si="8"/>
        <v>5</v>
      </c>
      <c r="V37" s="122">
        <f t="shared" si="7"/>
        <v>144</v>
      </c>
      <c r="W37" s="124">
        <f t="shared" si="5"/>
        <v>146</v>
      </c>
    </row>
    <row r="38" spans="1:23" x14ac:dyDescent="0.2">
      <c r="A38" s="12"/>
      <c r="G38" s="54"/>
      <c r="H38" s="54"/>
      <c r="I38" s="54"/>
      <c r="J38" s="55"/>
      <c r="K38" s="55"/>
      <c r="L38" s="54"/>
      <c r="P38" s="57">
        <f>SUM(P7:P37)</f>
        <v>0</v>
      </c>
      <c r="Q38" s="57">
        <f>SUM(Q7:Q37)</f>
        <v>0</v>
      </c>
      <c r="R38" s="57">
        <f>SUM(R7:R37)</f>
        <v>0</v>
      </c>
      <c r="S38" s="57">
        <f>SUM(S7:S37)</f>
        <v>0</v>
      </c>
      <c r="T38" s="57">
        <f>SUM(T7:T37)</f>
        <v>0</v>
      </c>
    </row>
    <row r="40" spans="1:23" x14ac:dyDescent="0.2">
      <c r="A40" s="13" t="str">
        <f>Blankettinfo</f>
        <v>Version 4.6 © LiU 2025-12-03</v>
      </c>
    </row>
  </sheetData>
  <sheetProtection algorithmName="SHA-512" hashValue="0iaTobIQ51GBL7gpygtG7QH9U9EefNWC/uLsgq8ICrSv9OJ6dTnwC8Cg+2y7wdzopwlPc9iIqQj2eg5q0cXCTg==" saltValue="ISlGLYvL+DyD9a2AgBz38g==" spinCount="100000" sheet="1" objects="1" scenarios="1"/>
  <mergeCells count="35">
    <mergeCell ref="G36:I36"/>
    <mergeCell ref="G27:I27"/>
    <mergeCell ref="G23:I23"/>
    <mergeCell ref="G8:I8"/>
    <mergeCell ref="G17:I17"/>
    <mergeCell ref="G37:I37"/>
    <mergeCell ref="G18:I18"/>
    <mergeCell ref="G34:I34"/>
    <mergeCell ref="G30:I30"/>
    <mergeCell ref="G15:I15"/>
    <mergeCell ref="G33:I33"/>
    <mergeCell ref="G24:I24"/>
    <mergeCell ref="G35:I35"/>
    <mergeCell ref="G20:I20"/>
    <mergeCell ref="G26:I26"/>
    <mergeCell ref="G29:I29"/>
    <mergeCell ref="G25:I25"/>
    <mergeCell ref="G16:I16"/>
    <mergeCell ref="G32:I32"/>
    <mergeCell ref="G22:I22"/>
    <mergeCell ref="G31:I31"/>
    <mergeCell ref="G10:I10"/>
    <mergeCell ref="G28:I28"/>
    <mergeCell ref="G19:I19"/>
    <mergeCell ref="G13:I13"/>
    <mergeCell ref="B1:D1"/>
    <mergeCell ref="G14:I14"/>
    <mergeCell ref="G9:I9"/>
    <mergeCell ref="G12:I12"/>
    <mergeCell ref="G21:I21"/>
    <mergeCell ref="G11:I11"/>
    <mergeCell ref="B3:D3"/>
    <mergeCell ref="G7:I7"/>
    <mergeCell ref="B4:C4"/>
    <mergeCell ref="B2:D2"/>
  </mergeCells>
  <conditionalFormatting sqref="A7:M37">
    <cfRule type="expression" dxfId="35" priority="1" stopIfTrue="1">
      <formula>$U7&gt;4</formula>
    </cfRule>
  </conditionalFormatting>
  <conditionalFormatting sqref="N7:N37">
    <cfRule type="cellIs" dxfId="34" priority="2" stopIfTrue="1" operator="greaterThanOrEqual">
      <formula>0</formula>
    </cfRule>
    <cfRule type="cellIs" dxfId="33" priority="3" stopIfTrue="1" operator="lessThan">
      <formula>0</formula>
    </cfRule>
  </conditionalFormatting>
  <dataValidations count="3">
    <dataValidation type="list" allowBlank="1" showInputMessage="1" showErrorMessage="1" sqref="L7:L37" xr:uid="{00000000-0002-0000-0300-000000000000}">
      <formula1>"+,-"</formula1>
    </dataValidation>
    <dataValidation type="time" allowBlank="1" showInputMessage="1" showErrorMessage="1" errorTitle="Fel tidsformat" error="Ange tid som timmar och minuter med kolon som skiljetecken - till exempel 9:30 för klockan halv tio på förmiddagen." sqref="B7:B37 C7:C19 C21 C23:C37 J7:K37" xr:uid="{00000000-0002-0000-0300-000001000000}">
      <formula1>0</formula1>
      <formula2>0.999988425925926</formula2>
    </dataValidation>
    <dataValidation type="time" allowBlank="1" showInputMessage="1" showErrorMessage="1" errorTitle="Fel tidsformat" error="Lunchen måste vara minst 30 minuter - tiden anges med timmar och minuter, till exempel 0:45 för trekvarts timmes lunch." promptTitle="Lunchrast" prompt="Lunchen anges som 30 minuter när &quot;Slutar&quot;-tiden fyllts i. Ändra manuellt om lunchen är längre än 30 minuter." sqref="D7:D37" xr:uid="{00000000-0002-0000-0300-000002000000}">
      <formula1>0.0208217592592593</formula1>
      <formula2>0.333333333333333</formula2>
    </dataValidation>
  </dataValidations>
  <pageMargins left="0.74803149606299213" right="0.74803149606299213" top="0.98425196850393704" bottom="0.98425196850393704" header="0.51181102362204722" footer="0.51181102362204722"/>
  <pageSetup paperSize="9" scale="64" orientation="landscape"/>
  <headerFooter alignWithMargins="0">
    <oddFooter>&amp;L&amp;"Arial,Normal"&amp;8 LiU flexblankett 2019&amp;C&amp;"Arial,Normal"&amp;8 &amp;F • &amp;A&amp;R&amp;"Arial,Normal"&amp;8 &amp;D • &amp;T</oddFooter>
  </headerFooter>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Blad8">
    <pageSetUpPr fitToPage="1"/>
  </sheetPr>
  <dimension ref="A1:W40"/>
  <sheetViews>
    <sheetView workbookViewId="0">
      <pane xSplit="1" ySplit="6" topLeftCell="B7" activePane="bottomRight" state="frozen"/>
      <selection pane="topRight"/>
      <selection pane="bottomLeft"/>
      <selection pane="bottomRight" activeCell="C34" sqref="C34"/>
    </sheetView>
  </sheetViews>
  <sheetFormatPr baseColWidth="10" defaultColWidth="9.140625" defaultRowHeight="15" x14ac:dyDescent="0.2"/>
  <cols>
    <col min="1" max="1" width="8.7109375" style="13" customWidth="1"/>
    <col min="2" max="5" width="10.7109375" style="13" customWidth="1"/>
    <col min="6" max="9" width="10.7109375" style="1" customWidth="1"/>
    <col min="10" max="11" width="8.7109375" style="11" customWidth="1"/>
    <col min="12" max="13" width="8.7109375" style="1" customWidth="1"/>
    <col min="14" max="14" width="7.7109375" style="18" customWidth="1"/>
    <col min="15" max="15" width="33.7109375" style="20" customWidth="1"/>
    <col min="16" max="20" width="10.7109375" style="20" customWidth="1"/>
    <col min="21" max="21" width="9.140625" style="126" hidden="1" customWidth="1"/>
    <col min="22" max="23" width="9.140625" style="124" hidden="1" customWidth="1"/>
    <col min="24" max="26" width="9.140625" style="1" customWidth="1"/>
    <col min="27" max="16384" width="9.140625" style="1"/>
  </cols>
  <sheetData>
    <row r="1" spans="1:23" x14ac:dyDescent="0.2">
      <c r="A1" s="92" t="s">
        <v>0</v>
      </c>
      <c r="B1" s="151" t="str">
        <f>Namn</f>
        <v>Håkan Stensby</v>
      </c>
      <c r="C1" s="152"/>
      <c r="D1" s="152"/>
      <c r="E1" s="47" t="s">
        <v>1</v>
      </c>
      <c r="F1" s="117">
        <f>SUM(F7:F37)</f>
        <v>157.5</v>
      </c>
      <c r="G1" s="60"/>
      <c r="H1" s="47" t="s">
        <v>2</v>
      </c>
      <c r="I1" s="104">
        <f>VLOOKUP(B3,översikt!A61:C72,3,FALSE)*B4</f>
        <v>160</v>
      </c>
      <c r="J1" s="77"/>
      <c r="K1" s="77"/>
      <c r="L1" s="104"/>
      <c r="M1" s="80"/>
      <c r="N1" s="105"/>
      <c r="O1" s="106"/>
      <c r="P1" s="109"/>
      <c r="Q1" s="109"/>
      <c r="R1" s="109"/>
      <c r="S1" s="109"/>
      <c r="T1" s="109"/>
    </row>
    <row r="2" spans="1:23" x14ac:dyDescent="0.2">
      <c r="A2" s="93" t="s">
        <v>3</v>
      </c>
      <c r="B2" s="161" t="str">
        <f>Pnr</f>
        <v>19770217-6418</v>
      </c>
      <c r="C2" s="154"/>
      <c r="D2" s="154"/>
      <c r="E2" s="53" t="s">
        <v>4</v>
      </c>
      <c r="F2" s="118">
        <f>VALUE(SUM(M7:M37)*24)</f>
        <v>8</v>
      </c>
      <c r="G2" s="48"/>
      <c r="H2" s="53" t="s">
        <v>5</v>
      </c>
      <c r="I2" s="86">
        <f>IF(F3=0,0,F3-I1)</f>
        <v>5.5</v>
      </c>
      <c r="J2" s="83"/>
      <c r="K2" s="83"/>
      <c r="L2" s="86"/>
      <c r="M2" s="86"/>
      <c r="N2" s="107"/>
      <c r="O2" s="108"/>
      <c r="P2" s="109"/>
      <c r="Q2" s="109"/>
      <c r="R2" s="109"/>
      <c r="S2" s="109"/>
      <c r="T2" s="109"/>
    </row>
    <row r="3" spans="1:23" x14ac:dyDescent="0.2">
      <c r="A3" s="93" t="s">
        <v>6</v>
      </c>
      <c r="B3" s="155">
        <f>översikt!A62</f>
        <v>44592</v>
      </c>
      <c r="C3" s="154"/>
      <c r="D3" s="154"/>
      <c r="E3" s="53" t="s">
        <v>7</v>
      </c>
      <c r="F3" s="118">
        <f>F1+F2</f>
        <v>165.5</v>
      </c>
      <c r="G3" s="49"/>
      <c r="H3" s="53" t="s">
        <v>8</v>
      </c>
      <c r="I3" s="133">
        <f ca="1">januari!I4</f>
        <v>8</v>
      </c>
      <c r="J3" s="84"/>
      <c r="K3" s="84"/>
      <c r="L3" s="89"/>
      <c r="M3" s="89"/>
      <c r="N3" s="107"/>
      <c r="O3" s="108"/>
      <c r="P3" s="109"/>
      <c r="Q3" s="109"/>
      <c r="R3" s="109"/>
      <c r="S3" s="109"/>
      <c r="T3" s="109"/>
    </row>
    <row r="4" spans="1:23" x14ac:dyDescent="0.2">
      <c r="A4" s="93" t="s">
        <v>9</v>
      </c>
      <c r="B4" s="159">
        <f>Tjgrad</f>
        <v>1</v>
      </c>
      <c r="C4" s="160"/>
      <c r="D4" s="153" t="s">
        <v>10</v>
      </c>
      <c r="E4" s="154"/>
      <c r="F4" s="50"/>
      <c r="G4" s="49"/>
      <c r="H4" s="53" t="s">
        <v>11</v>
      </c>
      <c r="I4" s="133">
        <f ca="1">IF(N7="", "-", OFFSET(N6, COUNT(N:N), 0, 1, 1) + I3)</f>
        <v>13.5</v>
      </c>
      <c r="J4" s="84"/>
      <c r="K4" s="84"/>
      <c r="L4" s="89"/>
      <c r="M4" s="89"/>
      <c r="N4" s="107"/>
      <c r="O4" s="108"/>
      <c r="P4" s="110" t="s">
        <v>12</v>
      </c>
      <c r="Q4" s="109"/>
      <c r="R4" s="109"/>
      <c r="S4" s="109"/>
      <c r="T4" s="109"/>
    </row>
    <row r="5" spans="1:23" x14ac:dyDescent="0.2">
      <c r="A5" s="93"/>
      <c r="B5" s="95" t="s">
        <v>13</v>
      </c>
      <c r="C5" s="95"/>
      <c r="D5" s="95"/>
      <c r="E5" s="90"/>
      <c r="F5" s="86"/>
      <c r="G5" s="86"/>
      <c r="H5" s="86"/>
      <c r="I5" s="86"/>
      <c r="J5" s="83" t="s">
        <v>14</v>
      </c>
      <c r="K5" s="83"/>
      <c r="L5" s="86"/>
      <c r="M5" s="86"/>
      <c r="N5" s="96" t="s">
        <v>15</v>
      </c>
      <c r="O5" s="97"/>
      <c r="P5" s="111" t="s">
        <v>16</v>
      </c>
      <c r="Q5" s="112"/>
      <c r="R5" s="112"/>
      <c r="S5" s="112"/>
      <c r="T5" s="112"/>
      <c r="U5" s="126" t="s">
        <v>17</v>
      </c>
      <c r="V5" s="124" t="s">
        <v>18</v>
      </c>
      <c r="W5" s="124" t="s">
        <v>19</v>
      </c>
    </row>
    <row r="6" spans="1:23" x14ac:dyDescent="0.2">
      <c r="A6" s="94" t="s">
        <v>17</v>
      </c>
      <c r="B6" s="98" t="s">
        <v>20</v>
      </c>
      <c r="C6" s="98" t="s">
        <v>21</v>
      </c>
      <c r="D6" s="99" t="s">
        <v>22</v>
      </c>
      <c r="E6" s="99" t="s">
        <v>23</v>
      </c>
      <c r="F6" s="99" t="s">
        <v>24</v>
      </c>
      <c r="G6" s="149" t="s">
        <v>25</v>
      </c>
      <c r="H6" s="150"/>
      <c r="I6" s="150"/>
      <c r="J6" s="100" t="s">
        <v>26</v>
      </c>
      <c r="K6" s="100" t="s">
        <v>27</v>
      </c>
      <c r="L6" s="101" t="s">
        <v>28</v>
      </c>
      <c r="M6" s="99" t="s">
        <v>29</v>
      </c>
      <c r="N6" s="102" t="s">
        <v>30</v>
      </c>
      <c r="O6" s="103" t="s">
        <v>31</v>
      </c>
      <c r="P6" s="114"/>
      <c r="Q6" s="114"/>
      <c r="R6" s="114"/>
      <c r="S6" s="114"/>
      <c r="T6" s="114"/>
    </row>
    <row r="7" spans="1:23" x14ac:dyDescent="0.2">
      <c r="A7" s="2">
        <f>B3</f>
        <v>44592</v>
      </c>
      <c r="B7" s="3"/>
      <c r="C7" s="3"/>
      <c r="D7" s="3" t="str">
        <f t="shared" ref="D7:D34" si="0">IF(C7="","",0.5/24)</f>
        <v/>
      </c>
      <c r="E7" s="4">
        <f t="shared" ref="E7:E34" si="1">IF(C7="",0,C7-B7-D7)</f>
        <v>0</v>
      </c>
      <c r="F7" s="5">
        <f t="shared" ref="F7:F34" si="2">IF(E7="","",VALUE(E7)*24)</f>
        <v>0</v>
      </c>
      <c r="G7" s="156"/>
      <c r="H7" s="157"/>
      <c r="I7" s="158"/>
      <c r="J7" s="3"/>
      <c r="K7" s="3"/>
      <c r="L7" s="6"/>
      <c r="M7" s="17">
        <f t="shared" ref="M7:M34" si="3">IF(OR(G7="Semester",G7="Sjuk",G7="Vård av barn"),8/24*$B$4,IF(L7="+",K7-J7,IF(L7="-",(K7-J7)*-1,0)))</f>
        <v>0</v>
      </c>
      <c r="N7" s="38">
        <f t="shared" ref="N7:N34" ca="1" si="4">IF(Dagen&gt;A7,W7-V7,"")</f>
        <v>0</v>
      </c>
      <c r="O7" s="40"/>
      <c r="P7" s="56"/>
      <c r="Q7" s="56"/>
      <c r="R7" s="56"/>
      <c r="S7" s="56"/>
      <c r="T7" s="56"/>
      <c r="U7" s="126">
        <f t="shared" ref="U7:U34" si="5">IF(A7="",0,WEEKDAY(A7,3))</f>
        <v>6</v>
      </c>
      <c r="V7" s="124">
        <f t="shared" ref="V7:V34" si="6">IF(U7&gt;4,V6,V6+$B$4*8)</f>
        <v>0</v>
      </c>
      <c r="W7" s="124">
        <f t="shared" ref="W7:W34" si="7">VALUE(E7)*24+VALUE(M7)*24+W6</f>
        <v>0</v>
      </c>
    </row>
    <row r="8" spans="1:23" x14ac:dyDescent="0.2">
      <c r="A8" s="8">
        <f t="shared" ref="A8:A34" si="8">A7+1</f>
        <v>44593</v>
      </c>
      <c r="B8" s="9">
        <v>0.29166666666666669</v>
      </c>
      <c r="C8" s="9">
        <v>0.66666666666666663</v>
      </c>
      <c r="D8" s="3">
        <f t="shared" si="0"/>
        <v>2.0833333333333332E-2</v>
      </c>
      <c r="E8" s="4">
        <f t="shared" si="1"/>
        <v>0.35416666666666663</v>
      </c>
      <c r="F8" s="5">
        <f t="shared" si="2"/>
        <v>8.5</v>
      </c>
      <c r="G8" s="146"/>
      <c r="H8" s="147"/>
      <c r="I8" s="148"/>
      <c r="J8" s="9"/>
      <c r="K8" s="9"/>
      <c r="L8" s="10"/>
      <c r="M8" s="17">
        <f t="shared" si="3"/>
        <v>0</v>
      </c>
      <c r="N8" s="39">
        <f t="shared" ca="1" si="4"/>
        <v>0.5</v>
      </c>
      <c r="O8" s="41"/>
      <c r="P8" s="56"/>
      <c r="Q8" s="56"/>
      <c r="R8" s="56"/>
      <c r="S8" s="56"/>
      <c r="T8" s="56"/>
      <c r="U8" s="126">
        <f t="shared" si="5"/>
        <v>0</v>
      </c>
      <c r="V8" s="124">
        <f t="shared" si="6"/>
        <v>8</v>
      </c>
      <c r="W8" s="124">
        <f t="shared" si="7"/>
        <v>8.5</v>
      </c>
    </row>
    <row r="9" spans="1:23" x14ac:dyDescent="0.2">
      <c r="A9" s="8">
        <f t="shared" si="8"/>
        <v>44594</v>
      </c>
      <c r="B9" s="9">
        <v>0.29166666666666669</v>
      </c>
      <c r="C9" s="9">
        <v>0.66666666666666663</v>
      </c>
      <c r="D9" s="3">
        <f t="shared" si="0"/>
        <v>2.0833333333333332E-2</v>
      </c>
      <c r="E9" s="4">
        <f t="shared" si="1"/>
        <v>0.35416666666666663</v>
      </c>
      <c r="F9" s="5">
        <f t="shared" si="2"/>
        <v>8.5</v>
      </c>
      <c r="G9" s="146"/>
      <c r="H9" s="147"/>
      <c r="I9" s="148"/>
      <c r="J9" s="9"/>
      <c r="K9" s="9"/>
      <c r="L9" s="10"/>
      <c r="M9" s="17">
        <f t="shared" si="3"/>
        <v>0</v>
      </c>
      <c r="N9" s="39">
        <f t="shared" ca="1" si="4"/>
        <v>1</v>
      </c>
      <c r="O9" s="41"/>
      <c r="P9" s="56"/>
      <c r="Q9" s="56"/>
      <c r="R9" s="56"/>
      <c r="S9" s="56"/>
      <c r="T9" s="56"/>
      <c r="U9" s="126">
        <f t="shared" si="5"/>
        <v>1</v>
      </c>
      <c r="V9" s="124">
        <f t="shared" si="6"/>
        <v>16</v>
      </c>
      <c r="W9" s="124">
        <f t="shared" si="7"/>
        <v>17</v>
      </c>
    </row>
    <row r="10" spans="1:23" x14ac:dyDescent="0.2">
      <c r="A10" s="8">
        <f t="shared" si="8"/>
        <v>44595</v>
      </c>
      <c r="B10" s="9">
        <v>0.29166666666666669</v>
      </c>
      <c r="C10" s="9">
        <v>0.66666666666666663</v>
      </c>
      <c r="D10" s="3">
        <f t="shared" si="0"/>
        <v>2.0833333333333332E-2</v>
      </c>
      <c r="E10" s="4">
        <f t="shared" si="1"/>
        <v>0.35416666666666663</v>
      </c>
      <c r="F10" s="5">
        <f t="shared" si="2"/>
        <v>8.5</v>
      </c>
      <c r="G10" s="146"/>
      <c r="H10" s="147"/>
      <c r="I10" s="148"/>
      <c r="J10" s="9"/>
      <c r="K10" s="9"/>
      <c r="L10" s="10"/>
      <c r="M10" s="17">
        <f t="shared" si="3"/>
        <v>0</v>
      </c>
      <c r="N10" s="39">
        <f t="shared" ca="1" si="4"/>
        <v>1.5</v>
      </c>
      <c r="O10" s="41"/>
      <c r="P10" s="56"/>
      <c r="Q10" s="56"/>
      <c r="R10" s="56"/>
      <c r="S10" s="56"/>
      <c r="T10" s="56"/>
      <c r="U10" s="126">
        <f t="shared" si="5"/>
        <v>2</v>
      </c>
      <c r="V10" s="124">
        <f t="shared" si="6"/>
        <v>24</v>
      </c>
      <c r="W10" s="124">
        <f t="shared" si="7"/>
        <v>25.5</v>
      </c>
    </row>
    <row r="11" spans="1:23" x14ac:dyDescent="0.2">
      <c r="A11" s="8">
        <f t="shared" si="8"/>
        <v>44596</v>
      </c>
      <c r="B11" s="9">
        <v>0.29166666666666669</v>
      </c>
      <c r="C11" s="9">
        <v>0.66666666666666663</v>
      </c>
      <c r="D11" s="3">
        <f t="shared" si="0"/>
        <v>2.0833333333333332E-2</v>
      </c>
      <c r="E11" s="4">
        <f t="shared" si="1"/>
        <v>0.35416666666666663</v>
      </c>
      <c r="F11" s="5">
        <f t="shared" si="2"/>
        <v>8.5</v>
      </c>
      <c r="G11" s="146"/>
      <c r="H11" s="147"/>
      <c r="I11" s="148"/>
      <c r="J11" s="9"/>
      <c r="K11" s="9"/>
      <c r="L11" s="10"/>
      <c r="M11" s="17">
        <f t="shared" si="3"/>
        <v>0</v>
      </c>
      <c r="N11" s="39">
        <f t="shared" ca="1" si="4"/>
        <v>2</v>
      </c>
      <c r="O11" s="41"/>
      <c r="P11" s="56"/>
      <c r="Q11" s="56"/>
      <c r="R11" s="56"/>
      <c r="S11" s="56"/>
      <c r="T11" s="56"/>
      <c r="U11" s="126">
        <f t="shared" si="5"/>
        <v>3</v>
      </c>
      <c r="V11" s="124">
        <f t="shared" si="6"/>
        <v>32</v>
      </c>
      <c r="W11" s="124">
        <f t="shared" si="7"/>
        <v>34</v>
      </c>
    </row>
    <row r="12" spans="1:23" x14ac:dyDescent="0.2">
      <c r="A12" s="8">
        <f t="shared" si="8"/>
        <v>44597</v>
      </c>
      <c r="B12" s="9">
        <v>0.29166666666666669</v>
      </c>
      <c r="C12" s="9">
        <v>0.64583333333333337</v>
      </c>
      <c r="D12" s="3">
        <f t="shared" si="0"/>
        <v>2.0833333333333332E-2</v>
      </c>
      <c r="E12" s="4">
        <f t="shared" si="1"/>
        <v>0.33333333333333337</v>
      </c>
      <c r="F12" s="5">
        <f t="shared" si="2"/>
        <v>8</v>
      </c>
      <c r="G12" s="146"/>
      <c r="H12" s="147"/>
      <c r="I12" s="148"/>
      <c r="J12" s="9"/>
      <c r="K12" s="9"/>
      <c r="L12" s="10"/>
      <c r="M12" s="17">
        <f t="shared" si="3"/>
        <v>0</v>
      </c>
      <c r="N12" s="39">
        <f t="shared" ca="1" si="4"/>
        <v>2</v>
      </c>
      <c r="O12" s="41"/>
      <c r="P12" s="56"/>
      <c r="Q12" s="56"/>
      <c r="R12" s="56"/>
      <c r="S12" s="56"/>
      <c r="T12" s="56"/>
      <c r="U12" s="126">
        <f t="shared" si="5"/>
        <v>4</v>
      </c>
      <c r="V12" s="124">
        <f t="shared" si="6"/>
        <v>40</v>
      </c>
      <c r="W12" s="124">
        <f t="shared" si="7"/>
        <v>42</v>
      </c>
    </row>
    <row r="13" spans="1:23" x14ac:dyDescent="0.2">
      <c r="A13" s="8">
        <f t="shared" si="8"/>
        <v>44598</v>
      </c>
      <c r="B13" s="9"/>
      <c r="C13" s="9"/>
      <c r="D13" s="3" t="str">
        <f t="shared" si="0"/>
        <v/>
      </c>
      <c r="E13" s="4">
        <f t="shared" si="1"/>
        <v>0</v>
      </c>
      <c r="F13" s="5">
        <f t="shared" si="2"/>
        <v>0</v>
      </c>
      <c r="G13" s="146"/>
      <c r="H13" s="147"/>
      <c r="I13" s="148"/>
      <c r="J13" s="9"/>
      <c r="K13" s="9"/>
      <c r="L13" s="10"/>
      <c r="M13" s="17">
        <f t="shared" si="3"/>
        <v>0</v>
      </c>
      <c r="N13" s="39">
        <f t="shared" ca="1" si="4"/>
        <v>2</v>
      </c>
      <c r="O13" s="41"/>
      <c r="P13" s="56"/>
      <c r="Q13" s="56"/>
      <c r="R13" s="56"/>
      <c r="S13" s="56"/>
      <c r="T13" s="56"/>
      <c r="U13" s="126">
        <f t="shared" si="5"/>
        <v>5</v>
      </c>
      <c r="V13" s="124">
        <f t="shared" si="6"/>
        <v>40</v>
      </c>
      <c r="W13" s="124">
        <f t="shared" si="7"/>
        <v>42</v>
      </c>
    </row>
    <row r="14" spans="1:23" x14ac:dyDescent="0.2">
      <c r="A14" s="8">
        <f t="shared" si="8"/>
        <v>44599</v>
      </c>
      <c r="B14" s="9"/>
      <c r="C14" s="9"/>
      <c r="D14" s="3" t="str">
        <f t="shared" si="0"/>
        <v/>
      </c>
      <c r="E14" s="4">
        <f t="shared" si="1"/>
        <v>0</v>
      </c>
      <c r="F14" s="5">
        <f t="shared" si="2"/>
        <v>0</v>
      </c>
      <c r="G14" s="146"/>
      <c r="H14" s="147"/>
      <c r="I14" s="148"/>
      <c r="J14" s="9"/>
      <c r="K14" s="9"/>
      <c r="L14" s="10"/>
      <c r="M14" s="17">
        <f t="shared" si="3"/>
        <v>0</v>
      </c>
      <c r="N14" s="39">
        <f t="shared" ca="1" si="4"/>
        <v>2</v>
      </c>
      <c r="O14" s="41"/>
      <c r="P14" s="56"/>
      <c r="Q14" s="56"/>
      <c r="R14" s="56"/>
      <c r="S14" s="56"/>
      <c r="T14" s="56"/>
      <c r="U14" s="126">
        <f t="shared" si="5"/>
        <v>6</v>
      </c>
      <c r="V14" s="124">
        <f t="shared" si="6"/>
        <v>40</v>
      </c>
      <c r="W14" s="124">
        <f t="shared" si="7"/>
        <v>42</v>
      </c>
    </row>
    <row r="15" spans="1:23" x14ac:dyDescent="0.2">
      <c r="A15" s="8">
        <f t="shared" si="8"/>
        <v>44600</v>
      </c>
      <c r="B15" s="9">
        <v>0.29166666666666669</v>
      </c>
      <c r="C15" s="9">
        <v>0.66666666666666663</v>
      </c>
      <c r="D15" s="3">
        <f t="shared" si="0"/>
        <v>2.0833333333333332E-2</v>
      </c>
      <c r="E15" s="4">
        <f t="shared" si="1"/>
        <v>0.35416666666666663</v>
      </c>
      <c r="F15" s="5">
        <f t="shared" si="2"/>
        <v>8.5</v>
      </c>
      <c r="G15" s="146"/>
      <c r="H15" s="147"/>
      <c r="I15" s="148"/>
      <c r="J15" s="9"/>
      <c r="K15" s="9"/>
      <c r="L15" s="10"/>
      <c r="M15" s="17">
        <f t="shared" si="3"/>
        <v>0</v>
      </c>
      <c r="N15" s="39">
        <f t="shared" ca="1" si="4"/>
        <v>2.5</v>
      </c>
      <c r="O15" s="41"/>
      <c r="P15" s="56"/>
      <c r="Q15" s="56"/>
      <c r="R15" s="56"/>
      <c r="S15" s="56"/>
      <c r="T15" s="56"/>
      <c r="U15" s="126">
        <f t="shared" si="5"/>
        <v>0</v>
      </c>
      <c r="V15" s="124">
        <f t="shared" si="6"/>
        <v>48</v>
      </c>
      <c r="W15" s="124">
        <f t="shared" si="7"/>
        <v>50.5</v>
      </c>
    </row>
    <row r="16" spans="1:23" x14ac:dyDescent="0.2">
      <c r="A16" s="8">
        <f t="shared" si="8"/>
        <v>44601</v>
      </c>
      <c r="B16" s="9">
        <v>0.29166666666666669</v>
      </c>
      <c r="C16" s="9">
        <v>0.66666666666666663</v>
      </c>
      <c r="D16" s="3">
        <f t="shared" si="0"/>
        <v>2.0833333333333332E-2</v>
      </c>
      <c r="E16" s="4">
        <f t="shared" si="1"/>
        <v>0.35416666666666663</v>
      </c>
      <c r="F16" s="5">
        <f t="shared" si="2"/>
        <v>8.5</v>
      </c>
      <c r="G16" s="146"/>
      <c r="H16" s="147"/>
      <c r="I16" s="148"/>
      <c r="J16" s="9"/>
      <c r="K16" s="9"/>
      <c r="L16" s="10"/>
      <c r="M16" s="17">
        <f t="shared" si="3"/>
        <v>0</v>
      </c>
      <c r="N16" s="39">
        <f t="shared" ca="1" si="4"/>
        <v>3</v>
      </c>
      <c r="O16" s="41"/>
      <c r="P16" s="56"/>
      <c r="Q16" s="56"/>
      <c r="R16" s="56"/>
      <c r="S16" s="56"/>
      <c r="T16" s="56"/>
      <c r="U16" s="126">
        <f t="shared" si="5"/>
        <v>1</v>
      </c>
      <c r="V16" s="124">
        <f t="shared" si="6"/>
        <v>56</v>
      </c>
      <c r="W16" s="124">
        <f t="shared" si="7"/>
        <v>59</v>
      </c>
    </row>
    <row r="17" spans="1:23" x14ac:dyDescent="0.2">
      <c r="A17" s="8">
        <f t="shared" si="8"/>
        <v>44602</v>
      </c>
      <c r="B17" s="9">
        <v>0.29166666666666669</v>
      </c>
      <c r="C17" s="9">
        <v>0.66666666666666663</v>
      </c>
      <c r="D17" s="3">
        <f t="shared" si="0"/>
        <v>2.0833333333333332E-2</v>
      </c>
      <c r="E17" s="4">
        <f t="shared" si="1"/>
        <v>0.35416666666666663</v>
      </c>
      <c r="F17" s="5">
        <f t="shared" si="2"/>
        <v>8.5</v>
      </c>
      <c r="G17" s="146"/>
      <c r="H17" s="147"/>
      <c r="I17" s="148"/>
      <c r="J17" s="9"/>
      <c r="K17" s="9"/>
      <c r="L17" s="10"/>
      <c r="M17" s="17">
        <f t="shared" si="3"/>
        <v>0</v>
      </c>
      <c r="N17" s="39">
        <f t="shared" ca="1" si="4"/>
        <v>3.5</v>
      </c>
      <c r="O17" s="41"/>
      <c r="P17" s="56"/>
      <c r="Q17" s="56"/>
      <c r="R17" s="56"/>
      <c r="S17" s="56"/>
      <c r="T17" s="56"/>
      <c r="U17" s="126">
        <f t="shared" si="5"/>
        <v>2</v>
      </c>
      <c r="V17" s="124">
        <f t="shared" si="6"/>
        <v>64</v>
      </c>
      <c r="W17" s="124">
        <f t="shared" si="7"/>
        <v>67.5</v>
      </c>
    </row>
    <row r="18" spans="1:23" x14ac:dyDescent="0.2">
      <c r="A18" s="8">
        <f t="shared" si="8"/>
        <v>44603</v>
      </c>
      <c r="B18" s="9">
        <v>0.29166666666666669</v>
      </c>
      <c r="C18" s="9">
        <v>0.66666666666666663</v>
      </c>
      <c r="D18" s="3">
        <f t="shared" si="0"/>
        <v>2.0833333333333332E-2</v>
      </c>
      <c r="E18" s="4">
        <f t="shared" si="1"/>
        <v>0.35416666666666663</v>
      </c>
      <c r="F18" s="5">
        <f t="shared" si="2"/>
        <v>8.5</v>
      </c>
      <c r="G18" s="146"/>
      <c r="H18" s="147"/>
      <c r="I18" s="148"/>
      <c r="J18" s="9"/>
      <c r="K18" s="9"/>
      <c r="L18" s="10"/>
      <c r="M18" s="17">
        <f t="shared" si="3"/>
        <v>0</v>
      </c>
      <c r="N18" s="39">
        <f t="shared" ca="1" si="4"/>
        <v>4</v>
      </c>
      <c r="O18" s="41"/>
      <c r="P18" s="56"/>
      <c r="Q18" s="56"/>
      <c r="R18" s="56"/>
      <c r="S18" s="56"/>
      <c r="T18" s="56"/>
      <c r="U18" s="126">
        <f t="shared" si="5"/>
        <v>3</v>
      </c>
      <c r="V18" s="124">
        <f t="shared" si="6"/>
        <v>72</v>
      </c>
      <c r="W18" s="124">
        <f t="shared" si="7"/>
        <v>76</v>
      </c>
    </row>
    <row r="19" spans="1:23" x14ac:dyDescent="0.2">
      <c r="A19" s="8">
        <f t="shared" si="8"/>
        <v>44604</v>
      </c>
      <c r="B19" s="9">
        <v>0.29166666666666669</v>
      </c>
      <c r="C19" s="9">
        <v>0.64583333333333337</v>
      </c>
      <c r="D19" s="3">
        <f t="shared" si="0"/>
        <v>2.0833333333333332E-2</v>
      </c>
      <c r="E19" s="4">
        <f t="shared" si="1"/>
        <v>0.33333333333333337</v>
      </c>
      <c r="F19" s="5">
        <f t="shared" si="2"/>
        <v>8</v>
      </c>
      <c r="G19" s="146"/>
      <c r="H19" s="147"/>
      <c r="I19" s="148"/>
      <c r="J19" s="9"/>
      <c r="K19" s="9"/>
      <c r="L19" s="10"/>
      <c r="M19" s="17">
        <f t="shared" si="3"/>
        <v>0</v>
      </c>
      <c r="N19" s="39">
        <f t="shared" ca="1" si="4"/>
        <v>4</v>
      </c>
      <c r="O19" s="41"/>
      <c r="P19" s="56"/>
      <c r="Q19" s="56"/>
      <c r="R19" s="56"/>
      <c r="S19" s="56"/>
      <c r="T19" s="56"/>
      <c r="U19" s="126">
        <f t="shared" si="5"/>
        <v>4</v>
      </c>
      <c r="V19" s="124">
        <f t="shared" si="6"/>
        <v>80</v>
      </c>
      <c r="W19" s="124">
        <f t="shared" si="7"/>
        <v>84</v>
      </c>
    </row>
    <row r="20" spans="1:23" x14ac:dyDescent="0.2">
      <c r="A20" s="8">
        <f t="shared" si="8"/>
        <v>44605</v>
      </c>
      <c r="B20" s="9"/>
      <c r="C20" s="9"/>
      <c r="D20" s="3" t="str">
        <f t="shared" si="0"/>
        <v/>
      </c>
      <c r="E20" s="4">
        <f t="shared" si="1"/>
        <v>0</v>
      </c>
      <c r="F20" s="5">
        <f t="shared" si="2"/>
        <v>0</v>
      </c>
      <c r="G20" s="146"/>
      <c r="H20" s="147"/>
      <c r="I20" s="148"/>
      <c r="J20" s="9"/>
      <c r="K20" s="9"/>
      <c r="L20" s="10"/>
      <c r="M20" s="17">
        <f t="shared" si="3"/>
        <v>0</v>
      </c>
      <c r="N20" s="39">
        <f t="shared" ca="1" si="4"/>
        <v>4</v>
      </c>
      <c r="O20" s="41"/>
      <c r="P20" s="56"/>
      <c r="Q20" s="56"/>
      <c r="R20" s="56"/>
      <c r="S20" s="56"/>
      <c r="T20" s="56"/>
      <c r="U20" s="126">
        <f t="shared" si="5"/>
        <v>5</v>
      </c>
      <c r="V20" s="124">
        <f t="shared" si="6"/>
        <v>80</v>
      </c>
      <c r="W20" s="124">
        <f t="shared" si="7"/>
        <v>84</v>
      </c>
    </row>
    <row r="21" spans="1:23" x14ac:dyDescent="0.2">
      <c r="A21" s="8">
        <f t="shared" si="8"/>
        <v>44606</v>
      </c>
      <c r="B21" s="9"/>
      <c r="C21" s="9"/>
      <c r="D21" s="3" t="str">
        <f t="shared" si="0"/>
        <v/>
      </c>
      <c r="E21" s="4">
        <f t="shared" si="1"/>
        <v>0</v>
      </c>
      <c r="F21" s="5">
        <f t="shared" si="2"/>
        <v>0</v>
      </c>
      <c r="G21" s="146"/>
      <c r="H21" s="147"/>
      <c r="I21" s="148"/>
      <c r="J21" s="9"/>
      <c r="K21" s="9"/>
      <c r="L21" s="10"/>
      <c r="M21" s="17">
        <f t="shared" si="3"/>
        <v>0</v>
      </c>
      <c r="N21" s="39">
        <f t="shared" ca="1" si="4"/>
        <v>4</v>
      </c>
      <c r="O21" s="41"/>
      <c r="P21" s="56"/>
      <c r="Q21" s="56"/>
      <c r="R21" s="56"/>
      <c r="S21" s="56"/>
      <c r="T21" s="56"/>
      <c r="U21" s="126">
        <f t="shared" si="5"/>
        <v>6</v>
      </c>
      <c r="V21" s="124">
        <f t="shared" si="6"/>
        <v>80</v>
      </c>
      <c r="W21" s="124">
        <f t="shared" si="7"/>
        <v>84</v>
      </c>
    </row>
    <row r="22" spans="1:23" x14ac:dyDescent="0.2">
      <c r="A22" s="8">
        <f t="shared" si="8"/>
        <v>44607</v>
      </c>
      <c r="B22" s="9">
        <v>0.29166666666666669</v>
      </c>
      <c r="C22" s="9">
        <v>0.64583333333333337</v>
      </c>
      <c r="D22" s="3">
        <f t="shared" si="0"/>
        <v>2.0833333333333332E-2</v>
      </c>
      <c r="E22" s="4">
        <f t="shared" si="1"/>
        <v>0.33333333333333337</v>
      </c>
      <c r="F22" s="5">
        <f t="shared" si="2"/>
        <v>8</v>
      </c>
      <c r="G22" s="146"/>
      <c r="H22" s="147"/>
      <c r="I22" s="148"/>
      <c r="J22" s="9"/>
      <c r="K22" s="9"/>
      <c r="L22" s="10"/>
      <c r="M22" s="17">
        <f t="shared" si="3"/>
        <v>0</v>
      </c>
      <c r="N22" s="39">
        <f t="shared" ca="1" si="4"/>
        <v>4</v>
      </c>
      <c r="O22" s="41"/>
      <c r="P22" s="56"/>
      <c r="Q22" s="56"/>
      <c r="R22" s="56"/>
      <c r="S22" s="56"/>
      <c r="T22" s="56"/>
      <c r="U22" s="126">
        <f t="shared" si="5"/>
        <v>0</v>
      </c>
      <c r="V22" s="124">
        <f t="shared" si="6"/>
        <v>88</v>
      </c>
      <c r="W22" s="124">
        <f t="shared" si="7"/>
        <v>92</v>
      </c>
    </row>
    <row r="23" spans="1:23" x14ac:dyDescent="0.2">
      <c r="A23" s="8">
        <f t="shared" si="8"/>
        <v>44608</v>
      </c>
      <c r="B23" s="9">
        <v>0.29166666666666669</v>
      </c>
      <c r="C23" s="9">
        <v>0.64583333333333337</v>
      </c>
      <c r="D23" s="3">
        <f t="shared" si="0"/>
        <v>2.0833333333333332E-2</v>
      </c>
      <c r="E23" s="4">
        <f t="shared" si="1"/>
        <v>0.33333333333333337</v>
      </c>
      <c r="F23" s="5">
        <f t="shared" si="2"/>
        <v>8</v>
      </c>
      <c r="G23" s="146" t="s">
        <v>32</v>
      </c>
      <c r="H23" s="147"/>
      <c r="I23" s="148"/>
      <c r="J23" s="9"/>
      <c r="K23" s="9"/>
      <c r="L23" s="10"/>
      <c r="M23" s="17">
        <f t="shared" si="3"/>
        <v>0</v>
      </c>
      <c r="N23" s="39">
        <f t="shared" ca="1" si="4"/>
        <v>4</v>
      </c>
      <c r="O23" s="41"/>
      <c r="P23" s="56"/>
      <c r="Q23" s="56"/>
      <c r="R23" s="56"/>
      <c r="S23" s="56"/>
      <c r="T23" s="56"/>
      <c r="U23" s="126">
        <f t="shared" si="5"/>
        <v>1</v>
      </c>
      <c r="V23" s="124">
        <f t="shared" si="6"/>
        <v>96</v>
      </c>
      <c r="W23" s="124">
        <f t="shared" si="7"/>
        <v>100</v>
      </c>
    </row>
    <row r="24" spans="1:23" x14ac:dyDescent="0.2">
      <c r="A24" s="8">
        <f t="shared" si="8"/>
        <v>44609</v>
      </c>
      <c r="B24" s="9">
        <v>0.29166666666666669</v>
      </c>
      <c r="C24" s="9">
        <v>0.64583333333333337</v>
      </c>
      <c r="D24" s="3">
        <f t="shared" si="0"/>
        <v>2.0833333333333332E-2</v>
      </c>
      <c r="E24" s="4">
        <f t="shared" si="1"/>
        <v>0.33333333333333337</v>
      </c>
      <c r="F24" s="5">
        <f t="shared" si="2"/>
        <v>8</v>
      </c>
      <c r="G24" s="146"/>
      <c r="H24" s="147"/>
      <c r="I24" s="148"/>
      <c r="J24" s="9"/>
      <c r="K24" s="9"/>
      <c r="L24" s="10"/>
      <c r="M24" s="17">
        <f t="shared" si="3"/>
        <v>0</v>
      </c>
      <c r="N24" s="39">
        <f t="shared" ca="1" si="4"/>
        <v>4</v>
      </c>
      <c r="O24" s="41"/>
      <c r="P24" s="56"/>
      <c r="Q24" s="56"/>
      <c r="R24" s="56"/>
      <c r="S24" s="56"/>
      <c r="T24" s="56"/>
      <c r="U24" s="126">
        <f t="shared" si="5"/>
        <v>2</v>
      </c>
      <c r="V24" s="124">
        <f t="shared" si="6"/>
        <v>104</v>
      </c>
      <c r="W24" s="124">
        <f t="shared" si="7"/>
        <v>108</v>
      </c>
    </row>
    <row r="25" spans="1:23" x14ac:dyDescent="0.2">
      <c r="A25" s="8">
        <f t="shared" si="8"/>
        <v>44610</v>
      </c>
      <c r="B25" s="9">
        <v>0.29166666666666669</v>
      </c>
      <c r="C25" s="9">
        <v>0.52083333333333337</v>
      </c>
      <c r="D25" s="3">
        <f t="shared" si="0"/>
        <v>2.0833333333333332E-2</v>
      </c>
      <c r="E25" s="4">
        <f t="shared" si="1"/>
        <v>0.20833333333333334</v>
      </c>
      <c r="F25" s="5">
        <f t="shared" si="2"/>
        <v>5</v>
      </c>
      <c r="G25" s="146"/>
      <c r="H25" s="147"/>
      <c r="I25" s="148"/>
      <c r="J25" s="9"/>
      <c r="K25" s="9"/>
      <c r="L25" s="10"/>
      <c r="M25" s="17">
        <f t="shared" si="3"/>
        <v>0</v>
      </c>
      <c r="N25" s="39">
        <f t="shared" ca="1" si="4"/>
        <v>1</v>
      </c>
      <c r="O25" s="41"/>
      <c r="P25" s="56"/>
      <c r="Q25" s="56"/>
      <c r="R25" s="56"/>
      <c r="S25" s="56"/>
      <c r="T25" s="56"/>
      <c r="U25" s="126">
        <f t="shared" si="5"/>
        <v>3</v>
      </c>
      <c r="V25" s="124">
        <f t="shared" si="6"/>
        <v>112</v>
      </c>
      <c r="W25" s="124">
        <f t="shared" si="7"/>
        <v>113</v>
      </c>
    </row>
    <row r="26" spans="1:23" x14ac:dyDescent="0.2">
      <c r="A26" s="8">
        <f t="shared" si="8"/>
        <v>44611</v>
      </c>
      <c r="B26" s="9"/>
      <c r="C26" s="9"/>
      <c r="D26" s="3" t="str">
        <f t="shared" si="0"/>
        <v/>
      </c>
      <c r="E26" s="4">
        <f t="shared" si="1"/>
        <v>0</v>
      </c>
      <c r="F26" s="5">
        <f t="shared" si="2"/>
        <v>0</v>
      </c>
      <c r="G26" s="146" t="s">
        <v>33</v>
      </c>
      <c r="H26" s="147"/>
      <c r="I26" s="148"/>
      <c r="J26" s="9"/>
      <c r="K26" s="9"/>
      <c r="L26" s="10"/>
      <c r="M26" s="17">
        <f t="shared" si="3"/>
        <v>0.33333333333333331</v>
      </c>
      <c r="N26" s="39">
        <f t="shared" ca="1" si="4"/>
        <v>1</v>
      </c>
      <c r="O26" s="41"/>
      <c r="P26" s="56"/>
      <c r="Q26" s="56"/>
      <c r="R26" s="56"/>
      <c r="S26" s="56"/>
      <c r="T26" s="56"/>
      <c r="U26" s="126">
        <f t="shared" si="5"/>
        <v>4</v>
      </c>
      <c r="V26" s="124">
        <f t="shared" si="6"/>
        <v>120</v>
      </c>
      <c r="W26" s="124">
        <f t="shared" si="7"/>
        <v>121</v>
      </c>
    </row>
    <row r="27" spans="1:23" x14ac:dyDescent="0.2">
      <c r="A27" s="8">
        <f t="shared" si="8"/>
        <v>44612</v>
      </c>
      <c r="B27" s="9"/>
      <c r="C27" s="9"/>
      <c r="D27" s="3" t="str">
        <f t="shared" si="0"/>
        <v/>
      </c>
      <c r="E27" s="4">
        <f t="shared" si="1"/>
        <v>0</v>
      </c>
      <c r="F27" s="5">
        <f t="shared" si="2"/>
        <v>0</v>
      </c>
      <c r="G27" s="146"/>
      <c r="H27" s="147"/>
      <c r="I27" s="148"/>
      <c r="J27" s="9"/>
      <c r="K27" s="9"/>
      <c r="L27" s="10"/>
      <c r="M27" s="17">
        <f t="shared" si="3"/>
        <v>0</v>
      </c>
      <c r="N27" s="39">
        <f t="shared" ca="1" si="4"/>
        <v>1</v>
      </c>
      <c r="O27" s="41"/>
      <c r="P27" s="56"/>
      <c r="Q27" s="56"/>
      <c r="R27" s="56"/>
      <c r="S27" s="56"/>
      <c r="T27" s="56"/>
      <c r="U27" s="126">
        <f t="shared" si="5"/>
        <v>5</v>
      </c>
      <c r="V27" s="124">
        <f t="shared" si="6"/>
        <v>120</v>
      </c>
      <c r="W27" s="124">
        <f t="shared" si="7"/>
        <v>121</v>
      </c>
    </row>
    <row r="28" spans="1:23" x14ac:dyDescent="0.2">
      <c r="A28" s="8">
        <f t="shared" si="8"/>
        <v>44613</v>
      </c>
      <c r="B28" s="9"/>
      <c r="C28" s="9"/>
      <c r="D28" s="3" t="str">
        <f t="shared" si="0"/>
        <v/>
      </c>
      <c r="E28" s="4">
        <f t="shared" si="1"/>
        <v>0</v>
      </c>
      <c r="F28" s="5">
        <f t="shared" si="2"/>
        <v>0</v>
      </c>
      <c r="G28" s="146"/>
      <c r="H28" s="147"/>
      <c r="I28" s="148"/>
      <c r="J28" s="9"/>
      <c r="K28" s="9"/>
      <c r="L28" s="10"/>
      <c r="M28" s="17">
        <f t="shared" si="3"/>
        <v>0</v>
      </c>
      <c r="N28" s="39">
        <f t="shared" ca="1" si="4"/>
        <v>1</v>
      </c>
      <c r="O28" s="41"/>
      <c r="P28" s="56"/>
      <c r="Q28" s="56"/>
      <c r="R28" s="56"/>
      <c r="S28" s="56"/>
      <c r="T28" s="56"/>
      <c r="U28" s="126">
        <f t="shared" si="5"/>
        <v>6</v>
      </c>
      <c r="V28" s="124">
        <f t="shared" si="6"/>
        <v>120</v>
      </c>
      <c r="W28" s="124">
        <f t="shared" si="7"/>
        <v>121</v>
      </c>
    </row>
    <row r="29" spans="1:23" x14ac:dyDescent="0.2">
      <c r="A29" s="8">
        <f t="shared" si="8"/>
        <v>44614</v>
      </c>
      <c r="B29" s="9">
        <v>0.29166666666666669</v>
      </c>
      <c r="C29" s="9">
        <v>0.66666666666666663</v>
      </c>
      <c r="D29" s="3">
        <f t="shared" si="0"/>
        <v>2.0833333333333332E-2</v>
      </c>
      <c r="E29" s="4">
        <f t="shared" si="1"/>
        <v>0.35416666666666663</v>
      </c>
      <c r="F29" s="5">
        <f t="shared" si="2"/>
        <v>8.5</v>
      </c>
      <c r="G29" s="146"/>
      <c r="H29" s="147"/>
      <c r="I29" s="148"/>
      <c r="J29" s="9"/>
      <c r="K29" s="9"/>
      <c r="L29" s="10"/>
      <c r="M29" s="17">
        <f t="shared" si="3"/>
        <v>0</v>
      </c>
      <c r="N29" s="39">
        <f t="shared" ca="1" si="4"/>
        <v>1.5</v>
      </c>
      <c r="O29" s="41"/>
      <c r="P29" s="56"/>
      <c r="Q29" s="56"/>
      <c r="R29" s="56"/>
      <c r="S29" s="56"/>
      <c r="T29" s="56"/>
      <c r="U29" s="126">
        <f t="shared" si="5"/>
        <v>0</v>
      </c>
      <c r="V29" s="124">
        <f t="shared" si="6"/>
        <v>128</v>
      </c>
      <c r="W29" s="124">
        <f t="shared" si="7"/>
        <v>129.5</v>
      </c>
    </row>
    <row r="30" spans="1:23" x14ac:dyDescent="0.2">
      <c r="A30" s="8">
        <f t="shared" si="8"/>
        <v>44615</v>
      </c>
      <c r="B30" s="9">
        <v>0.29166666666666669</v>
      </c>
      <c r="C30" s="9">
        <v>0.66666666666666663</v>
      </c>
      <c r="D30" s="3">
        <f t="shared" si="0"/>
        <v>2.0833333333333332E-2</v>
      </c>
      <c r="E30" s="4">
        <f t="shared" si="1"/>
        <v>0.35416666666666663</v>
      </c>
      <c r="F30" s="5">
        <f t="shared" si="2"/>
        <v>8.5</v>
      </c>
      <c r="G30" s="146"/>
      <c r="H30" s="147"/>
      <c r="I30" s="148"/>
      <c r="J30" s="9"/>
      <c r="K30" s="9"/>
      <c r="L30" s="10"/>
      <c r="M30" s="17">
        <f t="shared" si="3"/>
        <v>0</v>
      </c>
      <c r="N30" s="39">
        <f t="shared" ca="1" si="4"/>
        <v>2</v>
      </c>
      <c r="O30" s="41"/>
      <c r="P30" s="56"/>
      <c r="Q30" s="56"/>
      <c r="R30" s="56"/>
      <c r="S30" s="56"/>
      <c r="T30" s="56"/>
      <c r="U30" s="126">
        <f t="shared" si="5"/>
        <v>1</v>
      </c>
      <c r="V30" s="124">
        <f t="shared" si="6"/>
        <v>136</v>
      </c>
      <c r="W30" s="124">
        <f t="shared" si="7"/>
        <v>138</v>
      </c>
    </row>
    <row r="31" spans="1:23" x14ac:dyDescent="0.2">
      <c r="A31" s="8">
        <f t="shared" si="8"/>
        <v>44616</v>
      </c>
      <c r="B31" s="9">
        <v>0.29166666666666669</v>
      </c>
      <c r="C31" s="9">
        <v>0.72916666666666663</v>
      </c>
      <c r="D31" s="3">
        <f t="shared" si="0"/>
        <v>2.0833333333333332E-2</v>
      </c>
      <c r="E31" s="4">
        <f t="shared" si="1"/>
        <v>0.41666666666666663</v>
      </c>
      <c r="F31" s="5">
        <f t="shared" si="2"/>
        <v>10</v>
      </c>
      <c r="G31" s="146"/>
      <c r="H31" s="147"/>
      <c r="I31" s="148"/>
      <c r="J31" s="9"/>
      <c r="K31" s="9"/>
      <c r="L31" s="10"/>
      <c r="M31" s="17">
        <f t="shared" si="3"/>
        <v>0</v>
      </c>
      <c r="N31" s="39">
        <f t="shared" ca="1" si="4"/>
        <v>4</v>
      </c>
      <c r="O31" s="41"/>
      <c r="P31" s="56"/>
      <c r="Q31" s="56"/>
      <c r="R31" s="56"/>
      <c r="S31" s="56"/>
      <c r="T31" s="56"/>
      <c r="U31" s="126">
        <f t="shared" si="5"/>
        <v>2</v>
      </c>
      <c r="V31" s="124">
        <f t="shared" si="6"/>
        <v>144</v>
      </c>
      <c r="W31" s="124">
        <f t="shared" si="7"/>
        <v>148</v>
      </c>
    </row>
    <row r="32" spans="1:23" x14ac:dyDescent="0.2">
      <c r="A32" s="8">
        <f t="shared" si="8"/>
        <v>44617</v>
      </c>
      <c r="B32" s="9">
        <v>0.29166666666666669</v>
      </c>
      <c r="C32" s="9">
        <v>0.64583333333333337</v>
      </c>
      <c r="D32" s="3">
        <f t="shared" si="0"/>
        <v>2.0833333333333332E-2</v>
      </c>
      <c r="E32" s="4">
        <f t="shared" si="1"/>
        <v>0.33333333333333337</v>
      </c>
      <c r="F32" s="5">
        <f t="shared" si="2"/>
        <v>8</v>
      </c>
      <c r="G32" s="146"/>
      <c r="H32" s="147"/>
      <c r="I32" s="148"/>
      <c r="J32" s="9"/>
      <c r="K32" s="9"/>
      <c r="L32" s="10"/>
      <c r="M32" s="17">
        <f t="shared" si="3"/>
        <v>0</v>
      </c>
      <c r="N32" s="39">
        <f t="shared" ca="1" si="4"/>
        <v>4</v>
      </c>
      <c r="O32" s="41"/>
      <c r="P32" s="56"/>
      <c r="Q32" s="56"/>
      <c r="R32" s="56"/>
      <c r="S32" s="56"/>
      <c r="T32" s="56"/>
      <c r="U32" s="126">
        <f t="shared" si="5"/>
        <v>3</v>
      </c>
      <c r="V32" s="124">
        <f t="shared" si="6"/>
        <v>152</v>
      </c>
      <c r="W32" s="124">
        <f t="shared" si="7"/>
        <v>156</v>
      </c>
    </row>
    <row r="33" spans="1:23" x14ac:dyDescent="0.2">
      <c r="A33" s="8">
        <f t="shared" si="8"/>
        <v>44618</v>
      </c>
      <c r="B33" s="9">
        <v>0.29166666666666669</v>
      </c>
      <c r="C33" s="9">
        <v>0.70833333333333337</v>
      </c>
      <c r="D33" s="3">
        <f t="shared" si="0"/>
        <v>2.0833333333333332E-2</v>
      </c>
      <c r="E33" s="4">
        <f t="shared" si="1"/>
        <v>0.39583333333333337</v>
      </c>
      <c r="F33" s="5">
        <f t="shared" si="2"/>
        <v>9.5</v>
      </c>
      <c r="G33" s="146"/>
      <c r="H33" s="147"/>
      <c r="I33" s="148"/>
      <c r="J33" s="9"/>
      <c r="K33" s="9"/>
      <c r="L33" s="10"/>
      <c r="M33" s="17">
        <f t="shared" si="3"/>
        <v>0</v>
      </c>
      <c r="N33" s="39">
        <f t="shared" ca="1" si="4"/>
        <v>5.5</v>
      </c>
      <c r="O33" s="41"/>
      <c r="P33" s="56"/>
      <c r="Q33" s="56"/>
      <c r="R33" s="56"/>
      <c r="S33" s="56"/>
      <c r="T33" s="56"/>
      <c r="U33" s="126">
        <f t="shared" si="5"/>
        <v>4</v>
      </c>
      <c r="V33" s="124">
        <f t="shared" si="6"/>
        <v>160</v>
      </c>
      <c r="W33" s="124">
        <f t="shared" si="7"/>
        <v>165.5</v>
      </c>
    </row>
    <row r="34" spans="1:23" x14ac:dyDescent="0.2">
      <c r="A34" s="8">
        <f t="shared" si="8"/>
        <v>44619</v>
      </c>
      <c r="B34" s="9"/>
      <c r="C34" s="9"/>
      <c r="D34" s="3" t="str">
        <f t="shared" si="0"/>
        <v/>
      </c>
      <c r="E34" s="4">
        <f t="shared" si="1"/>
        <v>0</v>
      </c>
      <c r="F34" s="5">
        <f t="shared" si="2"/>
        <v>0</v>
      </c>
      <c r="G34" s="146"/>
      <c r="H34" s="147"/>
      <c r="I34" s="148"/>
      <c r="J34" s="9"/>
      <c r="K34" s="9"/>
      <c r="L34" s="10"/>
      <c r="M34" s="17">
        <f t="shared" si="3"/>
        <v>0</v>
      </c>
      <c r="N34" s="39">
        <f t="shared" ca="1" si="4"/>
        <v>5.5</v>
      </c>
      <c r="O34" s="41"/>
      <c r="P34" s="56"/>
      <c r="Q34" s="56"/>
      <c r="R34" s="56"/>
      <c r="S34" s="56"/>
      <c r="T34" s="56"/>
      <c r="U34" s="126">
        <f t="shared" si="5"/>
        <v>5</v>
      </c>
      <c r="V34" s="124">
        <f t="shared" si="6"/>
        <v>160</v>
      </c>
      <c r="W34" s="124">
        <f t="shared" si="7"/>
        <v>165.5</v>
      </c>
    </row>
    <row r="35" spans="1:23" x14ac:dyDescent="0.2">
      <c r="A35" s="8"/>
      <c r="B35" s="9"/>
      <c r="C35" s="9"/>
      <c r="D35" s="3"/>
      <c r="E35" s="4"/>
      <c r="F35" s="5"/>
      <c r="G35" s="146"/>
      <c r="H35" s="147"/>
      <c r="I35" s="148"/>
      <c r="J35" s="9"/>
      <c r="K35" s="9"/>
      <c r="L35" s="10"/>
      <c r="M35" s="17"/>
      <c r="N35" s="39"/>
      <c r="O35" s="41"/>
      <c r="P35" s="56"/>
      <c r="Q35" s="56"/>
      <c r="R35" s="56"/>
      <c r="S35" s="56"/>
      <c r="T35" s="56"/>
    </row>
    <row r="36" spans="1:23" x14ac:dyDescent="0.2">
      <c r="A36" s="19"/>
      <c r="B36" s="9"/>
      <c r="C36" s="9"/>
      <c r="D36" s="3"/>
      <c r="E36" s="4"/>
      <c r="F36" s="5"/>
      <c r="G36" s="146"/>
      <c r="H36" s="147"/>
      <c r="I36" s="148"/>
      <c r="J36" s="9"/>
      <c r="K36" s="9"/>
      <c r="L36" s="10"/>
      <c r="M36" s="17"/>
      <c r="N36" s="39"/>
      <c r="O36" s="41"/>
      <c r="P36" s="56"/>
      <c r="Q36" s="56"/>
      <c r="R36" s="56"/>
      <c r="S36" s="56"/>
      <c r="T36" s="56"/>
    </row>
    <row r="37" spans="1:23" x14ac:dyDescent="0.2">
      <c r="A37" s="19"/>
      <c r="B37" s="9"/>
      <c r="C37" s="9"/>
      <c r="D37" s="3"/>
      <c r="E37" s="4"/>
      <c r="F37" s="5"/>
      <c r="G37" s="146"/>
      <c r="H37" s="147"/>
      <c r="I37" s="148"/>
      <c r="J37" s="9"/>
      <c r="K37" s="9"/>
      <c r="L37" s="10"/>
      <c r="M37" s="17"/>
      <c r="N37" s="39"/>
      <c r="O37" s="41"/>
      <c r="P37" s="56"/>
      <c r="Q37" s="56"/>
      <c r="R37" s="56"/>
      <c r="S37" s="56"/>
      <c r="T37" s="56"/>
    </row>
    <row r="38" spans="1:23" x14ac:dyDescent="0.2">
      <c r="A38" s="12"/>
      <c r="P38" s="57">
        <f>SUM(P7:P37)</f>
        <v>0</v>
      </c>
      <c r="Q38" s="57">
        <f>SUM(Q7:Q37)</f>
        <v>0</v>
      </c>
      <c r="R38" s="57">
        <f>SUM(R7:R37)</f>
        <v>0</v>
      </c>
      <c r="S38" s="57">
        <f>SUM(S7:S37)</f>
        <v>0</v>
      </c>
      <c r="T38" s="57">
        <f>SUM(T7:T37)</f>
        <v>0</v>
      </c>
    </row>
    <row r="40" spans="1:23" x14ac:dyDescent="0.2">
      <c r="A40" s="21" t="str">
        <f>Blankettinfo</f>
        <v>Version 4.6 © LiU 2025-12-03</v>
      </c>
    </row>
  </sheetData>
  <sheetProtection algorithmName="SHA-512" hashValue="rY+Odw4SSubI/MyTHoGNUBMp3l06ptoqL6ntTbp4+PQKOmu9wBN7AnxVj7OHtQLIfH8a5XJEYrgPdbcakc91NQ==" saltValue="CBng3oYFLfZtG6ngGsCvtw==" spinCount="100000" sheet="1" scenarios="1"/>
  <mergeCells count="37">
    <mergeCell ref="B2:D2"/>
    <mergeCell ref="D4:E4"/>
    <mergeCell ref="G12:I12"/>
    <mergeCell ref="G21:I21"/>
    <mergeCell ref="G11:I11"/>
    <mergeCell ref="B3:D3"/>
    <mergeCell ref="G8:I8"/>
    <mergeCell ref="G17:I17"/>
    <mergeCell ref="G7:I7"/>
    <mergeCell ref="B4:C4"/>
    <mergeCell ref="B1:D1"/>
    <mergeCell ref="G18:I18"/>
    <mergeCell ref="G34:I34"/>
    <mergeCell ref="G30:I30"/>
    <mergeCell ref="G15:I15"/>
    <mergeCell ref="G33:I33"/>
    <mergeCell ref="G24:I24"/>
    <mergeCell ref="G14:I14"/>
    <mergeCell ref="G26:I26"/>
    <mergeCell ref="G20:I20"/>
    <mergeCell ref="G29:I29"/>
    <mergeCell ref="G25:I25"/>
    <mergeCell ref="G16:I16"/>
    <mergeCell ref="G32:I32"/>
    <mergeCell ref="G22:I22"/>
    <mergeCell ref="G31:I31"/>
    <mergeCell ref="G10:I10"/>
    <mergeCell ref="G28:I28"/>
    <mergeCell ref="G6:I6"/>
    <mergeCell ref="G19:I19"/>
    <mergeCell ref="G37:I37"/>
    <mergeCell ref="G13:I13"/>
    <mergeCell ref="G35:I35"/>
    <mergeCell ref="G9:I9"/>
    <mergeCell ref="G36:I36"/>
    <mergeCell ref="G27:I27"/>
    <mergeCell ref="G23:I23"/>
  </mergeCells>
  <conditionalFormatting sqref="A7:M37">
    <cfRule type="expression" dxfId="32" priority="1" stopIfTrue="1">
      <formula>$U7&gt;4</formula>
    </cfRule>
  </conditionalFormatting>
  <conditionalFormatting sqref="N7:N35">
    <cfRule type="cellIs" dxfId="31" priority="3" stopIfTrue="1" operator="greaterThanOrEqual">
      <formula>0</formula>
    </cfRule>
    <cfRule type="cellIs" dxfId="30" priority="4" stopIfTrue="1" operator="lessThan">
      <formula>0</formula>
    </cfRule>
  </conditionalFormatting>
  <dataValidations count="3">
    <dataValidation type="list" allowBlank="1" showInputMessage="1" showErrorMessage="1" sqref="L7:L37" xr:uid="{00000000-0002-0000-0400-000000000000}">
      <formula1>"+,-"</formula1>
    </dataValidation>
    <dataValidation type="time" allowBlank="1" showInputMessage="1" showErrorMessage="1" errorTitle="Fel tidsformat!" error="Ange tid som timmar och minuter med kolon som skiljetecken - till exempel 9:30 för klockan halv tio på förmiddagen." sqref="B7:C37 J7:K37" xr:uid="{00000000-0002-0000-0400-000001000000}">
      <formula1>0</formula1>
      <formula2>0.999988425925926</formula2>
    </dataValidation>
    <dataValidation type="time" allowBlank="1" showInputMessage="1" showErrorMessage="1" errorTitle="Fel tidsformat" error="Lunchen måste vara minst 30 minuter - tiden anges med timmar och minuter, till exempel 0:45 för trekvarts timmes lunch." promptTitle="Lunchrast" prompt="Lunchen anges som 30 minuter när &quot;Slutar&quot;-tiden fyllts i. Ändra manuellt om lunchen är längre än 30 minuter." sqref="D7:D37" xr:uid="{00000000-0002-0000-0400-000002000000}">
      <formula1>0.0208217592592593</formula1>
      <formula2>0.333333333333333</formula2>
    </dataValidation>
  </dataValidations>
  <pageMargins left="0.74803149606299213" right="0.74803149606299213" top="0.98425196850393704" bottom="0.98425196850393704" header="0.51181102362204722" footer="0.51181102362204722"/>
  <pageSetup paperSize="9" scale="64" orientation="landscape"/>
  <headerFooter alignWithMargins="0">
    <oddFooter>&amp;L&amp;"Arial,Normal"&amp;8 LiU 2017&amp;C&amp;"Arial,Normal"&amp;8 &amp;F • &amp;A&amp;R&amp;"Arial,Normal"&amp;8 &amp;D • &amp;T</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Blad7">
    <pageSetUpPr fitToPage="1"/>
  </sheetPr>
  <dimension ref="A1:Y40"/>
  <sheetViews>
    <sheetView tabSelected="1" workbookViewId="0">
      <selection activeCell="C30" sqref="C30"/>
    </sheetView>
  </sheetViews>
  <sheetFormatPr baseColWidth="10" defaultColWidth="9.140625" defaultRowHeight="15" x14ac:dyDescent="0.2"/>
  <cols>
    <col min="1" max="1" width="8.7109375" style="13" customWidth="1"/>
    <col min="2" max="5" width="10.7109375" style="13" customWidth="1"/>
    <col min="6" max="9" width="10.7109375" style="1" customWidth="1"/>
    <col min="10" max="11" width="8.7109375" style="11" customWidth="1"/>
    <col min="12" max="13" width="8.7109375" style="1" customWidth="1"/>
    <col min="14" max="14" width="7.7109375" style="14" customWidth="1"/>
    <col min="15" max="15" width="33.7109375" style="1" customWidth="1"/>
    <col min="16" max="20" width="10.7109375" style="1" customWidth="1"/>
    <col min="21" max="23" width="9.140625" style="122" hidden="1" customWidth="1"/>
    <col min="24" max="25" width="9.140625" style="120" customWidth="1"/>
    <col min="26" max="26" width="9.140625" style="1" customWidth="1"/>
    <col min="27" max="16384" width="9.140625" style="1"/>
  </cols>
  <sheetData>
    <row r="1" spans="1:24" x14ac:dyDescent="0.2">
      <c r="A1" s="66" t="s">
        <v>0</v>
      </c>
      <c r="B1" s="151" t="str">
        <f>Namn</f>
        <v>Håkan Stensby</v>
      </c>
      <c r="C1" s="152"/>
      <c r="D1" s="152"/>
      <c r="E1" s="47" t="s">
        <v>1</v>
      </c>
      <c r="F1" s="115">
        <f>SUM(F7:F37)</f>
        <v>143.5</v>
      </c>
      <c r="G1" s="51"/>
      <c r="H1" s="47" t="s">
        <v>2</v>
      </c>
      <c r="I1" s="76">
        <f>VLOOKUP(B3,översikt!A61:C72,3,FALSE)*B4</f>
        <v>176</v>
      </c>
      <c r="J1" s="77"/>
      <c r="K1" s="78"/>
      <c r="L1" s="79"/>
      <c r="M1" s="80"/>
      <c r="N1" s="80"/>
      <c r="O1" s="81"/>
      <c r="P1" s="85"/>
      <c r="Q1" s="85"/>
      <c r="R1" s="85"/>
      <c r="S1" s="85"/>
      <c r="T1" s="85"/>
    </row>
    <row r="2" spans="1:24" x14ac:dyDescent="0.2">
      <c r="A2" s="67" t="s">
        <v>3</v>
      </c>
      <c r="B2" s="161" t="str">
        <f>Pnr</f>
        <v>19770217-6418</v>
      </c>
      <c r="C2" s="154"/>
      <c r="D2" s="154"/>
      <c r="E2" s="53" t="s">
        <v>4</v>
      </c>
      <c r="F2" s="116">
        <f>VALUE(SUM(M7:M37)*24)</f>
        <v>0</v>
      </c>
      <c r="G2" s="48"/>
      <c r="H2" s="53" t="s">
        <v>5</v>
      </c>
      <c r="I2" s="82">
        <f>IF(F3=0,0,F3-I1)</f>
        <v>-32.5</v>
      </c>
      <c r="J2" s="83"/>
      <c r="K2" s="84"/>
      <c r="L2" s="85"/>
      <c r="M2" s="86"/>
      <c r="N2" s="87"/>
      <c r="O2" s="88"/>
      <c r="P2" s="85"/>
      <c r="Q2" s="85"/>
      <c r="R2" s="85"/>
      <c r="S2" s="85"/>
      <c r="T2" s="85"/>
    </row>
    <row r="3" spans="1:24" x14ac:dyDescent="0.2">
      <c r="A3" s="67" t="s">
        <v>6</v>
      </c>
      <c r="B3" s="155">
        <f>översikt!A63</f>
        <v>44620</v>
      </c>
      <c r="C3" s="154"/>
      <c r="D3" s="154"/>
      <c r="E3" s="53" t="s">
        <v>7</v>
      </c>
      <c r="F3" s="116">
        <f>F1+F2</f>
        <v>143.5</v>
      </c>
      <c r="G3" s="49"/>
      <c r="H3" s="53" t="s">
        <v>8</v>
      </c>
      <c r="I3" s="82">
        <f ca="1">februari!I4</f>
        <v>13.5</v>
      </c>
      <c r="J3" s="84"/>
      <c r="K3" s="85"/>
      <c r="L3" s="85"/>
      <c r="M3" s="89"/>
      <c r="N3" s="87"/>
      <c r="O3" s="88"/>
      <c r="P3" s="85"/>
      <c r="Q3" s="85"/>
      <c r="R3" s="85"/>
      <c r="S3" s="85"/>
      <c r="T3" s="85"/>
      <c r="W3" s="123"/>
    </row>
    <row r="4" spans="1:24" x14ac:dyDescent="0.2">
      <c r="A4" s="67" t="s">
        <v>9</v>
      </c>
      <c r="B4" s="159">
        <f>Tjgrad</f>
        <v>1</v>
      </c>
      <c r="C4" s="160"/>
      <c r="D4" s="52"/>
      <c r="E4" s="53" t="s">
        <v>10</v>
      </c>
      <c r="F4" s="50"/>
      <c r="G4" s="49"/>
      <c r="H4" s="53" t="s">
        <v>11</v>
      </c>
      <c r="I4" s="131">
        <f ca="1">IF(N7="", "-", OFFSET(N6, COUNT(N:N), 0, 1, 1) + I3)</f>
        <v>19.5</v>
      </c>
      <c r="J4" s="84"/>
      <c r="K4" s="85"/>
      <c r="L4" s="85"/>
      <c r="M4" s="89"/>
      <c r="N4" s="87"/>
      <c r="O4" s="88"/>
      <c r="P4" s="90" t="s">
        <v>12</v>
      </c>
      <c r="Q4" s="85"/>
      <c r="R4" s="85"/>
      <c r="S4" s="85"/>
      <c r="T4" s="85"/>
    </row>
    <row r="5" spans="1:24" x14ac:dyDescent="0.2">
      <c r="A5" s="68"/>
      <c r="B5" s="70" t="s">
        <v>13</v>
      </c>
      <c r="C5" s="70"/>
      <c r="D5" s="70"/>
      <c r="E5" s="70"/>
      <c r="F5" s="70"/>
      <c r="G5" s="70"/>
      <c r="H5" s="70"/>
      <c r="I5" s="70"/>
      <c r="J5" s="70" t="s">
        <v>14</v>
      </c>
      <c r="K5" s="70"/>
      <c r="L5" s="70"/>
      <c r="M5" s="70"/>
      <c r="N5" s="71" t="s">
        <v>15</v>
      </c>
      <c r="O5" s="72"/>
      <c r="P5" s="91" t="s">
        <v>16</v>
      </c>
      <c r="Q5" s="70"/>
      <c r="R5" s="70"/>
      <c r="S5" s="70"/>
      <c r="T5" s="70"/>
      <c r="U5" s="122" t="s">
        <v>17</v>
      </c>
      <c r="V5" s="122" t="s">
        <v>18</v>
      </c>
      <c r="W5" s="122" t="s">
        <v>19</v>
      </c>
    </row>
    <row r="6" spans="1:24" x14ac:dyDescent="0.2">
      <c r="A6" s="69" t="s">
        <v>17</v>
      </c>
      <c r="B6" s="73" t="s">
        <v>20</v>
      </c>
      <c r="C6" s="73" t="s">
        <v>21</v>
      </c>
      <c r="D6" s="73" t="s">
        <v>22</v>
      </c>
      <c r="E6" s="73" t="s">
        <v>23</v>
      </c>
      <c r="F6" s="73" t="s">
        <v>24</v>
      </c>
      <c r="G6" s="73" t="s">
        <v>25</v>
      </c>
      <c r="H6" s="73"/>
      <c r="I6" s="73"/>
      <c r="J6" s="73" t="s">
        <v>26</v>
      </c>
      <c r="K6" s="73" t="s">
        <v>27</v>
      </c>
      <c r="L6" s="73" t="s">
        <v>28</v>
      </c>
      <c r="M6" s="73" t="s">
        <v>29</v>
      </c>
      <c r="N6" s="74" t="s">
        <v>30</v>
      </c>
      <c r="O6" s="75" t="s">
        <v>31</v>
      </c>
      <c r="P6" s="113"/>
      <c r="Q6" s="113"/>
      <c r="R6" s="113"/>
      <c r="S6" s="113"/>
      <c r="T6" s="113"/>
    </row>
    <row r="7" spans="1:24" x14ac:dyDescent="0.2">
      <c r="A7" s="2">
        <f>B3</f>
        <v>44620</v>
      </c>
      <c r="B7" s="3"/>
      <c r="C7" s="3"/>
      <c r="D7" s="3" t="str">
        <f t="shared" ref="D7:D37" si="0">IF(C7="","",0.5/24)</f>
        <v/>
      </c>
      <c r="E7" s="4">
        <f t="shared" ref="E7:E37" si="1">IF(C7="",0,C7-B7-D7)</f>
        <v>0</v>
      </c>
      <c r="F7" s="5">
        <f t="shared" ref="F7:F37" si="2">IF(E7="","",VALUE(E7)*24)</f>
        <v>0</v>
      </c>
      <c r="G7" s="156"/>
      <c r="H7" s="157"/>
      <c r="I7" s="158"/>
      <c r="J7" s="3"/>
      <c r="K7" s="3"/>
      <c r="L7" s="6"/>
      <c r="M7" s="7">
        <f t="shared" ref="M7:M37" si="3">IF(OR(G7="Semester",G7="Sjuk",G7="Vård av barn"),8/24*$B$4,IF(L7="+",K7-J7,IF(L7="-",(K7-J7)*-1,0)))</f>
        <v>0</v>
      </c>
      <c r="N7" s="42">
        <f t="shared" ref="N7:N37" ca="1" si="4">IF(Dagen&gt;A7,W7-V7,"")</f>
        <v>0</v>
      </c>
      <c r="O7" s="43"/>
      <c r="P7" s="56"/>
      <c r="Q7" s="56"/>
      <c r="R7" s="56"/>
      <c r="S7" s="56"/>
      <c r="T7" s="56"/>
      <c r="U7" s="125">
        <f t="shared" ref="U7:U37" si="5">IF(A7="",0,WEEKDAY(A7,3))</f>
        <v>6</v>
      </c>
      <c r="V7" s="122">
        <f t="shared" ref="V7:V37" si="6">IF(U7&gt;4,V6,V6+$B$4*8)</f>
        <v>0</v>
      </c>
      <c r="W7" s="124">
        <f t="shared" ref="W7:W37" si="7">VALUE(E7)*24+VALUE(M7)*24+W6</f>
        <v>0</v>
      </c>
    </row>
    <row r="8" spans="1:24" x14ac:dyDescent="0.2">
      <c r="A8" s="8">
        <f t="shared" ref="A8:A37" si="8">A7+1</f>
        <v>44621</v>
      </c>
      <c r="B8" s="9">
        <v>0.29166666666666669</v>
      </c>
      <c r="C8" s="9">
        <v>0.64583333333333337</v>
      </c>
      <c r="D8" s="3">
        <f t="shared" si="0"/>
        <v>2.0833333333333332E-2</v>
      </c>
      <c r="E8" s="4">
        <f t="shared" si="1"/>
        <v>0.33333333333333337</v>
      </c>
      <c r="F8" s="5">
        <f t="shared" si="2"/>
        <v>8</v>
      </c>
      <c r="G8" s="146"/>
      <c r="H8" s="147"/>
      <c r="I8" s="148"/>
      <c r="J8" s="9"/>
      <c r="K8" s="9"/>
      <c r="L8" s="10"/>
      <c r="M8" s="7">
        <f t="shared" si="3"/>
        <v>0</v>
      </c>
      <c r="N8" s="44">
        <f t="shared" ca="1" si="4"/>
        <v>0</v>
      </c>
      <c r="O8" s="45"/>
      <c r="P8" s="56"/>
      <c r="Q8" s="56"/>
      <c r="R8" s="56"/>
      <c r="S8" s="56"/>
      <c r="T8" s="56"/>
      <c r="U8" s="122">
        <f t="shared" si="5"/>
        <v>0</v>
      </c>
      <c r="V8" s="122">
        <f t="shared" si="6"/>
        <v>8</v>
      </c>
      <c r="W8" s="124">
        <f t="shared" si="7"/>
        <v>8</v>
      </c>
      <c r="X8" s="121"/>
    </row>
    <row r="9" spans="1:24" x14ac:dyDescent="0.2">
      <c r="A9" s="8">
        <f t="shared" si="8"/>
        <v>44622</v>
      </c>
      <c r="B9" s="9">
        <v>0.29166666666666669</v>
      </c>
      <c r="C9" s="9">
        <v>0.64583333333333337</v>
      </c>
      <c r="D9" s="3">
        <f t="shared" si="0"/>
        <v>2.0833333333333332E-2</v>
      </c>
      <c r="E9" s="4">
        <f t="shared" si="1"/>
        <v>0.33333333333333337</v>
      </c>
      <c r="F9" s="5">
        <f t="shared" si="2"/>
        <v>8</v>
      </c>
      <c r="G9" s="146"/>
      <c r="H9" s="147"/>
      <c r="I9" s="148"/>
      <c r="J9" s="9"/>
      <c r="K9" s="9"/>
      <c r="L9" s="10"/>
      <c r="M9" s="7">
        <f t="shared" si="3"/>
        <v>0</v>
      </c>
      <c r="N9" s="44">
        <f t="shared" ca="1" si="4"/>
        <v>0</v>
      </c>
      <c r="O9" s="45"/>
      <c r="P9" s="56"/>
      <c r="Q9" s="56"/>
      <c r="R9" s="56"/>
      <c r="S9" s="56"/>
      <c r="T9" s="56"/>
      <c r="U9" s="122">
        <f t="shared" si="5"/>
        <v>1</v>
      </c>
      <c r="V9" s="122">
        <f t="shared" si="6"/>
        <v>16</v>
      </c>
      <c r="W9" s="124">
        <f t="shared" si="7"/>
        <v>16</v>
      </c>
      <c r="X9" s="121"/>
    </row>
    <row r="10" spans="1:24" x14ac:dyDescent="0.2">
      <c r="A10" s="8">
        <f t="shared" si="8"/>
        <v>44623</v>
      </c>
      <c r="B10" s="9">
        <v>0.29166666666666669</v>
      </c>
      <c r="C10" s="9">
        <v>0.64583333333333337</v>
      </c>
      <c r="D10" s="3">
        <f t="shared" si="0"/>
        <v>2.0833333333333332E-2</v>
      </c>
      <c r="E10" s="4">
        <f t="shared" si="1"/>
        <v>0.33333333333333337</v>
      </c>
      <c r="F10" s="5">
        <f t="shared" si="2"/>
        <v>8</v>
      </c>
      <c r="G10" s="167"/>
      <c r="H10" s="168"/>
      <c r="I10" s="169"/>
      <c r="J10" s="34"/>
      <c r="K10" s="34"/>
      <c r="L10" s="35"/>
      <c r="M10" s="7">
        <f t="shared" si="3"/>
        <v>0</v>
      </c>
      <c r="N10" s="44">
        <f t="shared" ca="1" si="4"/>
        <v>0</v>
      </c>
      <c r="O10" s="45"/>
      <c r="P10" s="56"/>
      <c r="Q10" s="56"/>
      <c r="R10" s="56"/>
      <c r="S10" s="56"/>
      <c r="T10" s="56"/>
      <c r="U10" s="122">
        <f t="shared" si="5"/>
        <v>2</v>
      </c>
      <c r="V10" s="122">
        <f t="shared" si="6"/>
        <v>24</v>
      </c>
      <c r="W10" s="124">
        <f t="shared" si="7"/>
        <v>24</v>
      </c>
      <c r="X10" s="121"/>
    </row>
    <row r="11" spans="1:24" x14ac:dyDescent="0.2">
      <c r="A11" s="8">
        <f t="shared" si="8"/>
        <v>44624</v>
      </c>
      <c r="B11" s="9">
        <v>0.29166666666666669</v>
      </c>
      <c r="C11" s="9">
        <v>0.66666666666666663</v>
      </c>
      <c r="D11" s="3">
        <f t="shared" si="0"/>
        <v>2.0833333333333332E-2</v>
      </c>
      <c r="E11" s="4">
        <f t="shared" si="1"/>
        <v>0.35416666666666663</v>
      </c>
      <c r="F11" s="5">
        <f t="shared" si="2"/>
        <v>8.5</v>
      </c>
      <c r="G11" s="146"/>
      <c r="H11" s="147"/>
      <c r="I11" s="148"/>
      <c r="J11" s="9"/>
      <c r="K11" s="9"/>
      <c r="L11" s="10"/>
      <c r="M11" s="7">
        <f t="shared" si="3"/>
        <v>0</v>
      </c>
      <c r="N11" s="44">
        <f t="shared" ca="1" si="4"/>
        <v>0.5</v>
      </c>
      <c r="O11" s="45"/>
      <c r="P11" s="56"/>
      <c r="Q11" s="56"/>
      <c r="R11" s="56"/>
      <c r="S11" s="56"/>
      <c r="T11" s="56"/>
      <c r="U11" s="122">
        <f t="shared" si="5"/>
        <v>3</v>
      </c>
      <c r="V11" s="125">
        <f t="shared" si="6"/>
        <v>32</v>
      </c>
      <c r="W11" s="124">
        <f t="shared" si="7"/>
        <v>32.5</v>
      </c>
      <c r="X11" s="121"/>
    </row>
    <row r="12" spans="1:24" x14ac:dyDescent="0.2">
      <c r="A12" s="8">
        <f t="shared" si="8"/>
        <v>44625</v>
      </c>
      <c r="B12" s="9">
        <v>0.29166666666666669</v>
      </c>
      <c r="C12" s="9">
        <v>0.66666666666666663</v>
      </c>
      <c r="D12" s="3">
        <f t="shared" si="0"/>
        <v>2.0833333333333332E-2</v>
      </c>
      <c r="E12" s="4">
        <f t="shared" si="1"/>
        <v>0.35416666666666663</v>
      </c>
      <c r="F12" s="5">
        <f t="shared" si="2"/>
        <v>8.5</v>
      </c>
      <c r="G12" s="156"/>
      <c r="H12" s="157"/>
      <c r="I12" s="158"/>
      <c r="J12" s="3"/>
      <c r="K12" s="3"/>
      <c r="L12" s="6"/>
      <c r="M12" s="7">
        <f t="shared" si="3"/>
        <v>0</v>
      </c>
      <c r="N12" s="44">
        <f t="shared" ca="1" si="4"/>
        <v>1</v>
      </c>
      <c r="O12" s="45"/>
      <c r="P12" s="56"/>
      <c r="Q12" s="56"/>
      <c r="R12" s="56"/>
      <c r="S12" s="56"/>
      <c r="T12" s="56"/>
      <c r="U12" s="125">
        <f t="shared" si="5"/>
        <v>4</v>
      </c>
      <c r="V12" s="122">
        <f t="shared" si="6"/>
        <v>40</v>
      </c>
      <c r="W12" s="124">
        <f t="shared" si="7"/>
        <v>41</v>
      </c>
      <c r="X12" s="121"/>
    </row>
    <row r="13" spans="1:24" x14ac:dyDescent="0.2">
      <c r="A13" s="8">
        <f t="shared" si="8"/>
        <v>44626</v>
      </c>
      <c r="B13" s="9"/>
      <c r="C13" s="9"/>
      <c r="D13" s="3" t="str">
        <f t="shared" si="0"/>
        <v/>
      </c>
      <c r="E13" s="4">
        <f t="shared" si="1"/>
        <v>0</v>
      </c>
      <c r="F13" s="5">
        <f t="shared" si="2"/>
        <v>0</v>
      </c>
      <c r="G13" s="146"/>
      <c r="H13" s="147"/>
      <c r="I13" s="148"/>
      <c r="J13" s="9"/>
      <c r="K13" s="9"/>
      <c r="L13" s="10"/>
      <c r="M13" s="7">
        <f t="shared" si="3"/>
        <v>0</v>
      </c>
      <c r="N13" s="44">
        <f t="shared" ca="1" si="4"/>
        <v>1</v>
      </c>
      <c r="O13" s="45"/>
      <c r="P13" s="56"/>
      <c r="Q13" s="56"/>
      <c r="R13" s="56"/>
      <c r="S13" s="56"/>
      <c r="T13" s="56"/>
      <c r="U13" s="122">
        <f t="shared" si="5"/>
        <v>5</v>
      </c>
      <c r="V13" s="122">
        <f t="shared" si="6"/>
        <v>40</v>
      </c>
      <c r="W13" s="124">
        <f t="shared" si="7"/>
        <v>41</v>
      </c>
      <c r="X13" s="121"/>
    </row>
    <row r="14" spans="1:24" x14ac:dyDescent="0.2">
      <c r="A14" s="8">
        <f t="shared" si="8"/>
        <v>44627</v>
      </c>
      <c r="B14" s="9"/>
      <c r="C14" s="9"/>
      <c r="D14" s="3" t="str">
        <f t="shared" si="0"/>
        <v/>
      </c>
      <c r="E14" s="4">
        <f t="shared" si="1"/>
        <v>0</v>
      </c>
      <c r="F14" s="5">
        <f t="shared" si="2"/>
        <v>0</v>
      </c>
      <c r="G14" s="146"/>
      <c r="H14" s="147"/>
      <c r="I14" s="148"/>
      <c r="J14" s="9"/>
      <c r="K14" s="9"/>
      <c r="L14" s="10"/>
      <c r="M14" s="7">
        <f t="shared" si="3"/>
        <v>0</v>
      </c>
      <c r="N14" s="44">
        <f t="shared" ca="1" si="4"/>
        <v>1</v>
      </c>
      <c r="O14" s="45"/>
      <c r="P14" s="56"/>
      <c r="Q14" s="56"/>
      <c r="R14" s="56"/>
      <c r="S14" s="56"/>
      <c r="T14" s="56"/>
      <c r="U14" s="122">
        <f t="shared" si="5"/>
        <v>6</v>
      </c>
      <c r="V14" s="122">
        <f t="shared" si="6"/>
        <v>40</v>
      </c>
      <c r="W14" s="124">
        <f t="shared" si="7"/>
        <v>41</v>
      </c>
      <c r="X14" s="121"/>
    </row>
    <row r="15" spans="1:24" x14ac:dyDescent="0.2">
      <c r="A15" s="8">
        <f t="shared" si="8"/>
        <v>44628</v>
      </c>
      <c r="B15" s="9">
        <v>0.29166666666666669</v>
      </c>
      <c r="C15" s="9">
        <v>0.64583333333333337</v>
      </c>
      <c r="D15" s="3">
        <f t="shared" si="0"/>
        <v>2.0833333333333332E-2</v>
      </c>
      <c r="E15" s="4">
        <f t="shared" si="1"/>
        <v>0.33333333333333337</v>
      </c>
      <c r="F15" s="5">
        <f t="shared" si="2"/>
        <v>8</v>
      </c>
      <c r="G15" s="146"/>
      <c r="H15" s="147"/>
      <c r="I15" s="148"/>
      <c r="J15" s="9"/>
      <c r="K15" s="9"/>
      <c r="L15" s="10"/>
      <c r="M15" s="7">
        <f t="shared" si="3"/>
        <v>0</v>
      </c>
      <c r="N15" s="44">
        <f t="shared" ca="1" si="4"/>
        <v>1</v>
      </c>
      <c r="O15" s="45"/>
      <c r="P15" s="56"/>
      <c r="Q15" s="56"/>
      <c r="R15" s="56"/>
      <c r="S15" s="56"/>
      <c r="T15" s="56"/>
      <c r="U15" s="122">
        <f t="shared" si="5"/>
        <v>0</v>
      </c>
      <c r="V15" s="122">
        <f t="shared" si="6"/>
        <v>48</v>
      </c>
      <c r="W15" s="124">
        <f t="shared" si="7"/>
        <v>49</v>
      </c>
    </row>
    <row r="16" spans="1:24" x14ac:dyDescent="0.2">
      <c r="A16" s="8">
        <f t="shared" si="8"/>
        <v>44629</v>
      </c>
      <c r="B16" s="9">
        <v>0.29166666666666669</v>
      </c>
      <c r="C16" s="9">
        <v>0.64583333333333337</v>
      </c>
      <c r="D16" s="3">
        <f t="shared" si="0"/>
        <v>2.0833333333333332E-2</v>
      </c>
      <c r="E16" s="4">
        <f t="shared" si="1"/>
        <v>0.33333333333333337</v>
      </c>
      <c r="F16" s="5">
        <f t="shared" si="2"/>
        <v>8</v>
      </c>
      <c r="G16" s="146"/>
      <c r="H16" s="147"/>
      <c r="I16" s="148"/>
      <c r="J16" s="9"/>
      <c r="K16" s="9"/>
      <c r="L16" s="10"/>
      <c r="M16" s="7">
        <f t="shared" si="3"/>
        <v>0</v>
      </c>
      <c r="N16" s="44">
        <f t="shared" ca="1" si="4"/>
        <v>1</v>
      </c>
      <c r="O16" s="45"/>
      <c r="P16" s="56"/>
      <c r="Q16" s="56"/>
      <c r="R16" s="56"/>
      <c r="S16" s="56"/>
      <c r="T16" s="56"/>
      <c r="U16" s="122">
        <f t="shared" si="5"/>
        <v>1</v>
      </c>
      <c r="V16" s="122">
        <f t="shared" si="6"/>
        <v>56</v>
      </c>
      <c r="W16" s="124">
        <f t="shared" si="7"/>
        <v>57</v>
      </c>
    </row>
    <row r="17" spans="1:23" x14ac:dyDescent="0.2">
      <c r="A17" s="8">
        <f t="shared" si="8"/>
        <v>44630</v>
      </c>
      <c r="B17" s="9">
        <v>0.29166666666666669</v>
      </c>
      <c r="C17" s="9">
        <v>0.66666666666666663</v>
      </c>
      <c r="D17" s="3">
        <f t="shared" si="0"/>
        <v>2.0833333333333332E-2</v>
      </c>
      <c r="E17" s="4">
        <f t="shared" si="1"/>
        <v>0.35416666666666663</v>
      </c>
      <c r="F17" s="5">
        <f t="shared" si="2"/>
        <v>8.5</v>
      </c>
      <c r="G17" s="146"/>
      <c r="H17" s="147"/>
      <c r="I17" s="148"/>
      <c r="J17" s="9"/>
      <c r="K17" s="9"/>
      <c r="L17" s="10"/>
      <c r="M17" s="7">
        <f t="shared" si="3"/>
        <v>0</v>
      </c>
      <c r="N17" s="44">
        <f t="shared" ca="1" si="4"/>
        <v>1.5</v>
      </c>
      <c r="O17" s="45"/>
      <c r="P17" s="56"/>
      <c r="Q17" s="56"/>
      <c r="R17" s="56"/>
      <c r="S17" s="56"/>
      <c r="T17" s="56"/>
      <c r="U17" s="122">
        <f t="shared" si="5"/>
        <v>2</v>
      </c>
      <c r="V17" s="122">
        <f t="shared" si="6"/>
        <v>64</v>
      </c>
      <c r="W17" s="124">
        <f t="shared" si="7"/>
        <v>65.5</v>
      </c>
    </row>
    <row r="18" spans="1:23" x14ac:dyDescent="0.2">
      <c r="A18" s="8">
        <f t="shared" si="8"/>
        <v>44631</v>
      </c>
      <c r="B18" s="9">
        <v>0.29166666666666669</v>
      </c>
      <c r="C18" s="9">
        <v>0.66666666666666663</v>
      </c>
      <c r="D18" s="3">
        <f t="shared" si="0"/>
        <v>2.0833333333333332E-2</v>
      </c>
      <c r="E18" s="4">
        <f t="shared" si="1"/>
        <v>0.35416666666666663</v>
      </c>
      <c r="F18" s="5">
        <f t="shared" si="2"/>
        <v>8.5</v>
      </c>
      <c r="G18" s="146"/>
      <c r="H18" s="147"/>
      <c r="I18" s="148"/>
      <c r="J18" s="9"/>
      <c r="K18" s="9"/>
      <c r="L18" s="10"/>
      <c r="M18" s="7">
        <f t="shared" si="3"/>
        <v>0</v>
      </c>
      <c r="N18" s="44">
        <f t="shared" ca="1" si="4"/>
        <v>2</v>
      </c>
      <c r="O18" s="45"/>
      <c r="P18" s="56"/>
      <c r="Q18" s="56"/>
      <c r="R18" s="56"/>
      <c r="S18" s="56"/>
      <c r="T18" s="56"/>
      <c r="U18" s="122">
        <f t="shared" si="5"/>
        <v>3</v>
      </c>
      <c r="V18" s="122">
        <f t="shared" si="6"/>
        <v>72</v>
      </c>
      <c r="W18" s="124">
        <f t="shared" si="7"/>
        <v>74</v>
      </c>
    </row>
    <row r="19" spans="1:23" x14ac:dyDescent="0.2">
      <c r="A19" s="8">
        <f t="shared" si="8"/>
        <v>44632</v>
      </c>
      <c r="B19" s="9">
        <v>0.29166666666666669</v>
      </c>
      <c r="C19" s="9">
        <v>0.64583333333333337</v>
      </c>
      <c r="D19" s="3">
        <f t="shared" si="0"/>
        <v>2.0833333333333332E-2</v>
      </c>
      <c r="E19" s="4">
        <f t="shared" si="1"/>
        <v>0.33333333333333337</v>
      </c>
      <c r="F19" s="5">
        <f t="shared" si="2"/>
        <v>8</v>
      </c>
      <c r="G19" s="146"/>
      <c r="H19" s="147"/>
      <c r="I19" s="148"/>
      <c r="J19" s="9"/>
      <c r="K19" s="9"/>
      <c r="L19" s="10"/>
      <c r="M19" s="7">
        <f t="shared" si="3"/>
        <v>0</v>
      </c>
      <c r="N19" s="44">
        <f t="shared" ca="1" si="4"/>
        <v>2</v>
      </c>
      <c r="O19" s="45"/>
      <c r="P19" s="56"/>
      <c r="Q19" s="56"/>
      <c r="R19" s="56"/>
      <c r="S19" s="56"/>
      <c r="T19" s="56"/>
      <c r="U19" s="122">
        <f t="shared" si="5"/>
        <v>4</v>
      </c>
      <c r="V19" s="122">
        <f t="shared" si="6"/>
        <v>80</v>
      </c>
      <c r="W19" s="124">
        <f t="shared" si="7"/>
        <v>82</v>
      </c>
    </row>
    <row r="20" spans="1:23" x14ac:dyDescent="0.2">
      <c r="A20" s="8">
        <f t="shared" si="8"/>
        <v>44633</v>
      </c>
      <c r="B20" s="9"/>
      <c r="C20" s="144"/>
      <c r="D20" s="3" t="str">
        <f t="shared" si="0"/>
        <v/>
      </c>
      <c r="E20" s="4">
        <f t="shared" si="1"/>
        <v>0</v>
      </c>
      <c r="F20" s="5">
        <f t="shared" si="2"/>
        <v>0</v>
      </c>
      <c r="G20" s="146"/>
      <c r="H20" s="147"/>
      <c r="I20" s="148"/>
      <c r="J20" s="9"/>
      <c r="K20" s="9"/>
      <c r="L20" s="10"/>
      <c r="M20" s="7">
        <f t="shared" si="3"/>
        <v>0</v>
      </c>
      <c r="N20" s="44">
        <f t="shared" ca="1" si="4"/>
        <v>2</v>
      </c>
      <c r="O20" s="45"/>
      <c r="P20" s="56"/>
      <c r="Q20" s="56"/>
      <c r="R20" s="56"/>
      <c r="S20" s="56"/>
      <c r="T20" s="56"/>
      <c r="U20" s="122">
        <f t="shared" si="5"/>
        <v>5</v>
      </c>
      <c r="V20" s="122">
        <f t="shared" si="6"/>
        <v>80</v>
      </c>
      <c r="W20" s="124">
        <f t="shared" si="7"/>
        <v>82</v>
      </c>
    </row>
    <row r="21" spans="1:23" x14ac:dyDescent="0.2">
      <c r="A21" s="8">
        <f t="shared" si="8"/>
        <v>44634</v>
      </c>
      <c r="B21" s="9"/>
      <c r="C21" s="9"/>
      <c r="D21" s="3" t="str">
        <f t="shared" si="0"/>
        <v/>
      </c>
      <c r="E21" s="4">
        <f t="shared" si="1"/>
        <v>0</v>
      </c>
      <c r="F21" s="5">
        <f t="shared" si="2"/>
        <v>0</v>
      </c>
      <c r="G21" s="146"/>
      <c r="H21" s="147"/>
      <c r="I21" s="148"/>
      <c r="J21" s="9"/>
      <c r="K21" s="9"/>
      <c r="L21" s="10"/>
      <c r="M21" s="7">
        <f t="shared" si="3"/>
        <v>0</v>
      </c>
      <c r="N21" s="44">
        <f t="shared" ca="1" si="4"/>
        <v>2</v>
      </c>
      <c r="O21" s="45"/>
      <c r="P21" s="56"/>
      <c r="Q21" s="56"/>
      <c r="R21" s="56"/>
      <c r="S21" s="56"/>
      <c r="T21" s="56"/>
      <c r="U21" s="122">
        <f t="shared" si="5"/>
        <v>6</v>
      </c>
      <c r="V21" s="122">
        <f t="shared" si="6"/>
        <v>80</v>
      </c>
      <c r="W21" s="124">
        <f t="shared" si="7"/>
        <v>82</v>
      </c>
    </row>
    <row r="22" spans="1:23" x14ac:dyDescent="0.2">
      <c r="A22" s="8">
        <f t="shared" si="8"/>
        <v>44635</v>
      </c>
      <c r="B22" s="9">
        <v>0.29166666666666669</v>
      </c>
      <c r="C22" s="9">
        <v>0.64583333333333337</v>
      </c>
      <c r="D22" s="3">
        <f t="shared" si="0"/>
        <v>2.0833333333333332E-2</v>
      </c>
      <c r="E22" s="4">
        <f t="shared" si="1"/>
        <v>0.33333333333333337</v>
      </c>
      <c r="F22" s="5">
        <f t="shared" si="2"/>
        <v>8</v>
      </c>
      <c r="G22" s="146"/>
      <c r="H22" s="147"/>
      <c r="I22" s="148"/>
      <c r="J22" s="9"/>
      <c r="K22" s="9"/>
      <c r="L22" s="10"/>
      <c r="M22" s="7">
        <f t="shared" si="3"/>
        <v>0</v>
      </c>
      <c r="N22" s="44">
        <f t="shared" ca="1" si="4"/>
        <v>2</v>
      </c>
      <c r="O22" s="45"/>
      <c r="P22" s="56"/>
      <c r="Q22" s="56"/>
      <c r="R22" s="56"/>
      <c r="S22" s="56"/>
      <c r="T22" s="56"/>
      <c r="U22" s="122">
        <f t="shared" si="5"/>
        <v>0</v>
      </c>
      <c r="V22" s="122">
        <f t="shared" si="6"/>
        <v>88</v>
      </c>
      <c r="W22" s="124">
        <f t="shared" si="7"/>
        <v>90</v>
      </c>
    </row>
    <row r="23" spans="1:23" x14ac:dyDescent="0.2">
      <c r="A23" s="8">
        <f t="shared" si="8"/>
        <v>44636</v>
      </c>
      <c r="B23" s="9">
        <v>0.29166666666666669</v>
      </c>
      <c r="C23" s="9">
        <v>0.66666666666666663</v>
      </c>
      <c r="D23" s="3">
        <f t="shared" si="0"/>
        <v>2.0833333333333332E-2</v>
      </c>
      <c r="E23" s="4">
        <f t="shared" si="1"/>
        <v>0.35416666666666663</v>
      </c>
      <c r="F23" s="5">
        <f t="shared" si="2"/>
        <v>8.5</v>
      </c>
      <c r="G23" s="146"/>
      <c r="H23" s="147"/>
      <c r="I23" s="148"/>
      <c r="J23" s="9"/>
      <c r="K23" s="9"/>
      <c r="L23" s="10"/>
      <c r="M23" s="7">
        <f t="shared" si="3"/>
        <v>0</v>
      </c>
      <c r="N23" s="44">
        <f t="shared" ca="1" si="4"/>
        <v>2.5</v>
      </c>
      <c r="O23" s="45"/>
      <c r="P23" s="56"/>
      <c r="Q23" s="56"/>
      <c r="R23" s="56"/>
      <c r="S23" s="56"/>
      <c r="T23" s="56"/>
      <c r="U23" s="122">
        <f t="shared" si="5"/>
        <v>1</v>
      </c>
      <c r="V23" s="122">
        <f t="shared" si="6"/>
        <v>96</v>
      </c>
      <c r="W23" s="124">
        <f t="shared" si="7"/>
        <v>98.5</v>
      </c>
    </row>
    <row r="24" spans="1:23" x14ac:dyDescent="0.2">
      <c r="A24" s="8">
        <f t="shared" si="8"/>
        <v>44637</v>
      </c>
      <c r="B24" s="9">
        <v>0.29166666666666669</v>
      </c>
      <c r="C24" s="9">
        <v>0.70833333333333337</v>
      </c>
      <c r="D24" s="3">
        <f t="shared" si="0"/>
        <v>2.0833333333333332E-2</v>
      </c>
      <c r="E24" s="4">
        <f t="shared" si="1"/>
        <v>0.39583333333333337</v>
      </c>
      <c r="F24" s="5">
        <f t="shared" si="2"/>
        <v>9.5</v>
      </c>
      <c r="G24" s="146"/>
      <c r="H24" s="147"/>
      <c r="I24" s="148"/>
      <c r="J24" s="9"/>
      <c r="K24" s="9"/>
      <c r="L24" s="10"/>
      <c r="M24" s="7">
        <f t="shared" si="3"/>
        <v>0</v>
      </c>
      <c r="N24" s="44">
        <f t="shared" ca="1" si="4"/>
        <v>4</v>
      </c>
      <c r="O24" s="45"/>
      <c r="P24" s="56"/>
      <c r="Q24" s="56"/>
      <c r="R24" s="56"/>
      <c r="S24" s="56"/>
      <c r="T24" s="56"/>
      <c r="U24" s="122">
        <f t="shared" si="5"/>
        <v>2</v>
      </c>
      <c r="V24" s="122">
        <f t="shared" si="6"/>
        <v>104</v>
      </c>
      <c r="W24" s="124">
        <f t="shared" si="7"/>
        <v>108</v>
      </c>
    </row>
    <row r="25" spans="1:23" x14ac:dyDescent="0.2">
      <c r="A25" s="8">
        <f t="shared" si="8"/>
        <v>44638</v>
      </c>
      <c r="B25" s="9">
        <v>0.29166666666666669</v>
      </c>
      <c r="C25" s="144">
        <v>0.66666666666666663</v>
      </c>
      <c r="D25" s="3">
        <f t="shared" si="0"/>
        <v>2.0833333333333332E-2</v>
      </c>
      <c r="E25" s="4">
        <f t="shared" si="1"/>
        <v>0.35416666666666663</v>
      </c>
      <c r="F25" s="5">
        <f t="shared" si="2"/>
        <v>8.5</v>
      </c>
      <c r="G25" s="146"/>
      <c r="H25" s="147"/>
      <c r="I25" s="148"/>
      <c r="J25" s="9"/>
      <c r="K25" s="9"/>
      <c r="L25" s="10"/>
      <c r="M25" s="7">
        <f t="shared" si="3"/>
        <v>0</v>
      </c>
      <c r="N25" s="44">
        <f t="shared" ca="1" si="4"/>
        <v>4.5</v>
      </c>
      <c r="O25" s="45"/>
      <c r="P25" s="56"/>
      <c r="Q25" s="56"/>
      <c r="R25" s="56"/>
      <c r="S25" s="56"/>
      <c r="T25" s="56"/>
      <c r="U25" s="122">
        <f t="shared" si="5"/>
        <v>3</v>
      </c>
      <c r="V25" s="122">
        <f t="shared" si="6"/>
        <v>112</v>
      </c>
      <c r="W25" s="124">
        <f t="shared" si="7"/>
        <v>116.5</v>
      </c>
    </row>
    <row r="26" spans="1:23" x14ac:dyDescent="0.2">
      <c r="A26" s="8">
        <f t="shared" si="8"/>
        <v>44639</v>
      </c>
      <c r="B26" s="9">
        <v>0.29166666666666669</v>
      </c>
      <c r="C26" s="9">
        <v>0.70833333333333337</v>
      </c>
      <c r="D26" s="3">
        <f t="shared" si="0"/>
        <v>2.0833333333333332E-2</v>
      </c>
      <c r="E26" s="4">
        <f t="shared" si="1"/>
        <v>0.39583333333333337</v>
      </c>
      <c r="F26" s="5">
        <f t="shared" si="2"/>
        <v>9.5</v>
      </c>
      <c r="G26" s="146"/>
      <c r="H26" s="147"/>
      <c r="I26" s="148"/>
      <c r="J26" s="9"/>
      <c r="K26" s="9"/>
      <c r="L26" s="10"/>
      <c r="M26" s="7">
        <f t="shared" si="3"/>
        <v>0</v>
      </c>
      <c r="N26" s="44">
        <f t="shared" ca="1" si="4"/>
        <v>6</v>
      </c>
      <c r="O26" s="45"/>
      <c r="P26" s="56"/>
      <c r="Q26" s="56"/>
      <c r="R26" s="56"/>
      <c r="S26" s="56"/>
      <c r="T26" s="56"/>
      <c r="U26" s="122">
        <f t="shared" si="5"/>
        <v>4</v>
      </c>
      <c r="V26" s="122">
        <f t="shared" si="6"/>
        <v>120</v>
      </c>
      <c r="W26" s="124">
        <f t="shared" si="7"/>
        <v>126</v>
      </c>
    </row>
    <row r="27" spans="1:23" x14ac:dyDescent="0.2">
      <c r="A27" s="8">
        <f t="shared" si="8"/>
        <v>44640</v>
      </c>
      <c r="B27" s="9">
        <v>0.29166666666666669</v>
      </c>
      <c r="C27" s="9"/>
      <c r="D27" s="3" t="str">
        <f t="shared" si="0"/>
        <v/>
      </c>
      <c r="E27" s="4">
        <f t="shared" si="1"/>
        <v>0</v>
      </c>
      <c r="F27" s="5">
        <f t="shared" si="2"/>
        <v>0</v>
      </c>
      <c r="G27" s="146"/>
      <c r="H27" s="147"/>
      <c r="I27" s="148"/>
      <c r="J27" s="9"/>
      <c r="K27" s="9"/>
      <c r="L27" s="10"/>
      <c r="M27" s="7">
        <f t="shared" si="3"/>
        <v>0</v>
      </c>
      <c r="N27" s="44">
        <f t="shared" ca="1" si="4"/>
        <v>6</v>
      </c>
      <c r="O27" s="45"/>
      <c r="P27" s="56"/>
      <c r="Q27" s="56"/>
      <c r="R27" s="56"/>
      <c r="S27" s="56"/>
      <c r="T27" s="56"/>
      <c r="U27" s="122">
        <f t="shared" si="5"/>
        <v>5</v>
      </c>
      <c r="V27" s="122">
        <f t="shared" si="6"/>
        <v>120</v>
      </c>
      <c r="W27" s="124">
        <f t="shared" si="7"/>
        <v>126</v>
      </c>
    </row>
    <row r="28" spans="1:23" x14ac:dyDescent="0.2">
      <c r="A28" s="8">
        <f t="shared" si="8"/>
        <v>44641</v>
      </c>
      <c r="B28" s="9"/>
      <c r="C28" s="9"/>
      <c r="D28" s="3" t="str">
        <f t="shared" si="0"/>
        <v/>
      </c>
      <c r="E28" s="4">
        <f t="shared" si="1"/>
        <v>0</v>
      </c>
      <c r="F28" s="5">
        <f t="shared" si="2"/>
        <v>0</v>
      </c>
      <c r="G28" s="146"/>
      <c r="H28" s="147"/>
      <c r="I28" s="148"/>
      <c r="J28" s="9"/>
      <c r="K28" s="9"/>
      <c r="L28" s="10"/>
      <c r="M28" s="7">
        <f t="shared" si="3"/>
        <v>0</v>
      </c>
      <c r="N28" s="44">
        <f t="shared" ca="1" si="4"/>
        <v>6</v>
      </c>
      <c r="O28" s="45"/>
      <c r="P28" s="56"/>
      <c r="Q28" s="56"/>
      <c r="R28" s="56"/>
      <c r="S28" s="56"/>
      <c r="T28" s="56"/>
      <c r="U28" s="122">
        <f t="shared" si="5"/>
        <v>6</v>
      </c>
      <c r="V28" s="122">
        <f t="shared" si="6"/>
        <v>120</v>
      </c>
      <c r="W28" s="124">
        <f t="shared" si="7"/>
        <v>126</v>
      </c>
    </row>
    <row r="29" spans="1:23" x14ac:dyDescent="0.2">
      <c r="A29" s="8">
        <f t="shared" si="8"/>
        <v>44642</v>
      </c>
      <c r="B29" s="9">
        <v>0.29166666666666669</v>
      </c>
      <c r="C29" s="9">
        <v>0.64583333333333337</v>
      </c>
      <c r="D29" s="3">
        <f t="shared" si="0"/>
        <v>2.0833333333333332E-2</v>
      </c>
      <c r="E29" s="4">
        <f t="shared" si="1"/>
        <v>0.33333333333333337</v>
      </c>
      <c r="F29" s="5">
        <f t="shared" si="2"/>
        <v>8</v>
      </c>
      <c r="G29" s="146"/>
      <c r="H29" s="147"/>
      <c r="I29" s="148"/>
      <c r="J29" s="9"/>
      <c r="K29" s="9"/>
      <c r="L29" s="10"/>
      <c r="M29" s="7">
        <f t="shared" si="3"/>
        <v>0</v>
      </c>
      <c r="N29" s="44">
        <f t="shared" ca="1" si="4"/>
        <v>6</v>
      </c>
      <c r="O29" s="45"/>
      <c r="P29" s="56"/>
      <c r="Q29" s="56"/>
      <c r="R29" s="56"/>
      <c r="S29" s="56"/>
      <c r="T29" s="56"/>
      <c r="U29" s="122">
        <f t="shared" si="5"/>
        <v>0</v>
      </c>
      <c r="V29" s="122">
        <f t="shared" si="6"/>
        <v>128</v>
      </c>
      <c r="W29" s="124">
        <f t="shared" si="7"/>
        <v>134</v>
      </c>
    </row>
    <row r="30" spans="1:23" x14ac:dyDescent="0.2">
      <c r="A30" s="8">
        <f t="shared" si="8"/>
        <v>44643</v>
      </c>
      <c r="B30" s="9">
        <v>0.29166666666666669</v>
      </c>
      <c r="C30" s="9">
        <v>0.70833333333333337</v>
      </c>
      <c r="D30" s="3">
        <f t="shared" si="0"/>
        <v>2.0833333333333332E-2</v>
      </c>
      <c r="E30" s="4">
        <f t="shared" si="1"/>
        <v>0.39583333333333337</v>
      </c>
      <c r="F30" s="5">
        <f t="shared" si="2"/>
        <v>9.5</v>
      </c>
      <c r="G30" s="146"/>
      <c r="H30" s="147"/>
      <c r="I30" s="148"/>
      <c r="J30" s="9"/>
      <c r="K30" s="9"/>
      <c r="L30" s="10"/>
      <c r="M30" s="7">
        <f t="shared" si="3"/>
        <v>0</v>
      </c>
      <c r="N30" s="44" t="str">
        <f t="shared" ca="1" si="4"/>
        <v/>
      </c>
      <c r="O30" s="45"/>
      <c r="P30" s="56"/>
      <c r="Q30" s="56"/>
      <c r="R30" s="56"/>
      <c r="S30" s="56"/>
      <c r="T30" s="56"/>
      <c r="U30" s="122">
        <f t="shared" si="5"/>
        <v>1</v>
      </c>
      <c r="V30" s="122">
        <f t="shared" si="6"/>
        <v>136</v>
      </c>
      <c r="W30" s="124">
        <f t="shared" si="7"/>
        <v>143.5</v>
      </c>
    </row>
    <row r="31" spans="1:23" x14ac:dyDescent="0.2">
      <c r="A31" s="8">
        <f t="shared" si="8"/>
        <v>44644</v>
      </c>
      <c r="B31" s="9">
        <v>0.29166666666666669</v>
      </c>
      <c r="C31" s="9"/>
      <c r="D31" s="3" t="str">
        <f t="shared" si="0"/>
        <v/>
      </c>
      <c r="E31" s="4">
        <f t="shared" si="1"/>
        <v>0</v>
      </c>
      <c r="F31" s="5">
        <f t="shared" si="2"/>
        <v>0</v>
      </c>
      <c r="G31" s="146"/>
      <c r="H31" s="147"/>
      <c r="I31" s="148"/>
      <c r="J31" s="9"/>
      <c r="K31" s="9"/>
      <c r="L31" s="10"/>
      <c r="M31" s="7">
        <f t="shared" si="3"/>
        <v>0</v>
      </c>
      <c r="N31" s="44" t="str">
        <f t="shared" ca="1" si="4"/>
        <v/>
      </c>
      <c r="O31" s="45"/>
      <c r="P31" s="56"/>
      <c r="Q31" s="56"/>
      <c r="R31" s="56"/>
      <c r="S31" s="56"/>
      <c r="T31" s="56"/>
      <c r="U31" s="122">
        <f t="shared" si="5"/>
        <v>2</v>
      </c>
      <c r="V31" s="122">
        <f t="shared" si="6"/>
        <v>144</v>
      </c>
      <c r="W31" s="124">
        <f t="shared" si="7"/>
        <v>143.5</v>
      </c>
    </row>
    <row r="32" spans="1:23" x14ac:dyDescent="0.2">
      <c r="A32" s="8">
        <f t="shared" si="8"/>
        <v>44645</v>
      </c>
      <c r="B32" s="9">
        <v>0.29166666666666669</v>
      </c>
      <c r="C32" s="9"/>
      <c r="D32" s="3" t="str">
        <f t="shared" si="0"/>
        <v/>
      </c>
      <c r="E32" s="4">
        <f t="shared" si="1"/>
        <v>0</v>
      </c>
      <c r="F32" s="5">
        <f t="shared" si="2"/>
        <v>0</v>
      </c>
      <c r="G32" s="146"/>
      <c r="H32" s="147"/>
      <c r="I32" s="148"/>
      <c r="J32" s="9"/>
      <c r="K32" s="9"/>
      <c r="L32" s="10"/>
      <c r="M32" s="7">
        <f t="shared" si="3"/>
        <v>0</v>
      </c>
      <c r="N32" s="44" t="str">
        <f t="shared" ca="1" si="4"/>
        <v/>
      </c>
      <c r="O32" s="45"/>
      <c r="P32" s="56"/>
      <c r="Q32" s="56"/>
      <c r="R32" s="56"/>
      <c r="S32" s="56"/>
      <c r="T32" s="56"/>
      <c r="U32" s="122">
        <f t="shared" si="5"/>
        <v>3</v>
      </c>
      <c r="V32" s="122">
        <f t="shared" si="6"/>
        <v>152</v>
      </c>
      <c r="W32" s="124">
        <f t="shared" si="7"/>
        <v>143.5</v>
      </c>
    </row>
    <row r="33" spans="1:23" x14ac:dyDescent="0.2">
      <c r="A33" s="8">
        <f t="shared" si="8"/>
        <v>44646</v>
      </c>
      <c r="B33" s="9">
        <v>0.29166666666666669</v>
      </c>
      <c r="C33" s="9"/>
      <c r="D33" s="3" t="str">
        <f t="shared" si="0"/>
        <v/>
      </c>
      <c r="E33" s="4">
        <f t="shared" si="1"/>
        <v>0</v>
      </c>
      <c r="F33" s="5">
        <f t="shared" si="2"/>
        <v>0</v>
      </c>
      <c r="G33" s="146"/>
      <c r="H33" s="147"/>
      <c r="I33" s="148"/>
      <c r="J33" s="9"/>
      <c r="K33" s="9"/>
      <c r="L33" s="10"/>
      <c r="M33" s="7">
        <f t="shared" si="3"/>
        <v>0</v>
      </c>
      <c r="N33" s="44" t="str">
        <f t="shared" ca="1" si="4"/>
        <v/>
      </c>
      <c r="O33" s="45"/>
      <c r="P33" s="56"/>
      <c r="Q33" s="56"/>
      <c r="R33" s="56"/>
      <c r="S33" s="56"/>
      <c r="T33" s="56"/>
      <c r="U33" s="122">
        <f t="shared" si="5"/>
        <v>4</v>
      </c>
      <c r="V33" s="122">
        <f t="shared" si="6"/>
        <v>160</v>
      </c>
      <c r="W33" s="124">
        <f t="shared" si="7"/>
        <v>143.5</v>
      </c>
    </row>
    <row r="34" spans="1:23" x14ac:dyDescent="0.2">
      <c r="A34" s="8">
        <f t="shared" si="8"/>
        <v>44647</v>
      </c>
      <c r="B34" s="9"/>
      <c r="C34" s="9"/>
      <c r="D34" s="3" t="str">
        <f t="shared" si="0"/>
        <v/>
      </c>
      <c r="E34" s="4">
        <f t="shared" si="1"/>
        <v>0</v>
      </c>
      <c r="F34" s="5">
        <f t="shared" si="2"/>
        <v>0</v>
      </c>
      <c r="G34" s="146"/>
      <c r="H34" s="147"/>
      <c r="I34" s="148"/>
      <c r="J34" s="9"/>
      <c r="K34" s="9"/>
      <c r="L34" s="10"/>
      <c r="M34" s="7">
        <f t="shared" si="3"/>
        <v>0</v>
      </c>
      <c r="N34" s="44" t="str">
        <f t="shared" ca="1" si="4"/>
        <v/>
      </c>
      <c r="O34" s="45"/>
      <c r="P34" s="56"/>
      <c r="Q34" s="56"/>
      <c r="R34" s="56"/>
      <c r="S34" s="56"/>
      <c r="T34" s="56"/>
      <c r="U34" s="122">
        <f t="shared" si="5"/>
        <v>5</v>
      </c>
      <c r="V34" s="122">
        <f t="shared" si="6"/>
        <v>160</v>
      </c>
      <c r="W34" s="124">
        <f t="shared" si="7"/>
        <v>143.5</v>
      </c>
    </row>
    <row r="35" spans="1:23" x14ac:dyDescent="0.2">
      <c r="A35" s="8">
        <f t="shared" si="8"/>
        <v>44648</v>
      </c>
      <c r="B35" s="9"/>
      <c r="C35" s="9"/>
      <c r="D35" s="3" t="str">
        <f t="shared" si="0"/>
        <v/>
      </c>
      <c r="E35" s="4">
        <f t="shared" si="1"/>
        <v>0</v>
      </c>
      <c r="F35" s="5">
        <f t="shared" si="2"/>
        <v>0</v>
      </c>
      <c r="G35" s="146"/>
      <c r="H35" s="147"/>
      <c r="I35" s="148"/>
      <c r="J35" s="9"/>
      <c r="K35" s="9"/>
      <c r="L35" s="10"/>
      <c r="M35" s="7">
        <f t="shared" si="3"/>
        <v>0</v>
      </c>
      <c r="N35" s="44" t="str">
        <f t="shared" ca="1" si="4"/>
        <v/>
      </c>
      <c r="O35" s="45"/>
      <c r="P35" s="56"/>
      <c r="Q35" s="56"/>
      <c r="R35" s="56"/>
      <c r="S35" s="56"/>
      <c r="T35" s="56"/>
      <c r="U35" s="122">
        <f t="shared" si="5"/>
        <v>6</v>
      </c>
      <c r="V35" s="122">
        <f t="shared" si="6"/>
        <v>160</v>
      </c>
      <c r="W35" s="124">
        <f t="shared" si="7"/>
        <v>143.5</v>
      </c>
    </row>
    <row r="36" spans="1:23" x14ac:dyDescent="0.2">
      <c r="A36" s="8">
        <f t="shared" si="8"/>
        <v>44649</v>
      </c>
      <c r="B36" s="9"/>
      <c r="C36" s="9"/>
      <c r="D36" s="3" t="str">
        <f t="shared" si="0"/>
        <v/>
      </c>
      <c r="E36" s="4">
        <f t="shared" si="1"/>
        <v>0</v>
      </c>
      <c r="F36" s="5">
        <f t="shared" si="2"/>
        <v>0</v>
      </c>
      <c r="G36" s="146"/>
      <c r="H36" s="147"/>
      <c r="I36" s="148"/>
      <c r="J36" s="9"/>
      <c r="K36" s="9"/>
      <c r="L36" s="10"/>
      <c r="M36" s="7">
        <f t="shared" si="3"/>
        <v>0</v>
      </c>
      <c r="N36" s="44" t="str">
        <f t="shared" ca="1" si="4"/>
        <v/>
      </c>
      <c r="O36" s="45"/>
      <c r="P36" s="56"/>
      <c r="Q36" s="56"/>
      <c r="R36" s="56"/>
      <c r="S36" s="56"/>
      <c r="T36" s="56"/>
      <c r="U36" s="122">
        <f t="shared" si="5"/>
        <v>0</v>
      </c>
      <c r="V36" s="122">
        <f t="shared" si="6"/>
        <v>168</v>
      </c>
      <c r="W36" s="124">
        <f t="shared" si="7"/>
        <v>143.5</v>
      </c>
    </row>
    <row r="37" spans="1:23" x14ac:dyDescent="0.2">
      <c r="A37" s="8">
        <f t="shared" si="8"/>
        <v>44650</v>
      </c>
      <c r="B37" s="9"/>
      <c r="C37" s="9"/>
      <c r="D37" s="3" t="str">
        <f t="shared" si="0"/>
        <v/>
      </c>
      <c r="E37" s="4">
        <f t="shared" si="1"/>
        <v>0</v>
      </c>
      <c r="F37" s="5">
        <f t="shared" si="2"/>
        <v>0</v>
      </c>
      <c r="G37" s="146"/>
      <c r="H37" s="147"/>
      <c r="I37" s="148"/>
      <c r="J37" s="9"/>
      <c r="K37" s="9"/>
      <c r="L37" s="10"/>
      <c r="M37" s="7">
        <f t="shared" si="3"/>
        <v>0</v>
      </c>
      <c r="N37" s="44" t="str">
        <f t="shared" ca="1" si="4"/>
        <v/>
      </c>
      <c r="O37" s="45"/>
      <c r="P37" s="56"/>
      <c r="Q37" s="56"/>
      <c r="R37" s="56"/>
      <c r="S37" s="56"/>
      <c r="T37" s="56"/>
      <c r="U37" s="122">
        <f t="shared" si="5"/>
        <v>1</v>
      </c>
      <c r="V37" s="122">
        <f t="shared" si="6"/>
        <v>176</v>
      </c>
      <c r="W37" s="124">
        <f t="shared" si="7"/>
        <v>143.5</v>
      </c>
    </row>
    <row r="38" spans="1:23" x14ac:dyDescent="0.2">
      <c r="A38" s="12"/>
      <c r="G38" s="54"/>
      <c r="H38" s="54"/>
      <c r="I38" s="54"/>
      <c r="J38" s="55"/>
      <c r="K38" s="55"/>
      <c r="L38" s="54"/>
      <c r="P38" s="57">
        <f>SUM(P7:P37)</f>
        <v>0</v>
      </c>
      <c r="Q38" s="57">
        <f>SUM(Q7:Q37)</f>
        <v>0</v>
      </c>
      <c r="R38" s="57">
        <f>SUM(R7:R37)</f>
        <v>0</v>
      </c>
      <c r="S38" s="57">
        <f>SUM(S7:S37)</f>
        <v>0</v>
      </c>
      <c r="T38" s="57">
        <f>SUM(T7:T37)</f>
        <v>0</v>
      </c>
    </row>
    <row r="40" spans="1:23" x14ac:dyDescent="0.2">
      <c r="A40" s="13" t="str">
        <f>Blankettinfo</f>
        <v>Version 4.6 © LiU 2025-12-03</v>
      </c>
    </row>
  </sheetData>
  <mergeCells count="35">
    <mergeCell ref="G36:I36"/>
    <mergeCell ref="G27:I27"/>
    <mergeCell ref="G23:I23"/>
    <mergeCell ref="G8:I8"/>
    <mergeCell ref="G17:I17"/>
    <mergeCell ref="G37:I37"/>
    <mergeCell ref="G18:I18"/>
    <mergeCell ref="G34:I34"/>
    <mergeCell ref="G30:I30"/>
    <mergeCell ref="G15:I15"/>
    <mergeCell ref="G33:I33"/>
    <mergeCell ref="G24:I24"/>
    <mergeCell ref="G35:I35"/>
    <mergeCell ref="G20:I20"/>
    <mergeCell ref="G26:I26"/>
    <mergeCell ref="G29:I29"/>
    <mergeCell ref="G25:I25"/>
    <mergeCell ref="G16:I16"/>
    <mergeCell ref="G32:I32"/>
    <mergeCell ref="G22:I22"/>
    <mergeCell ref="G31:I31"/>
    <mergeCell ref="G10:I10"/>
    <mergeCell ref="G28:I28"/>
    <mergeCell ref="G19:I19"/>
    <mergeCell ref="G13:I13"/>
    <mergeCell ref="B1:D1"/>
    <mergeCell ref="G14:I14"/>
    <mergeCell ref="G9:I9"/>
    <mergeCell ref="G12:I12"/>
    <mergeCell ref="G21:I21"/>
    <mergeCell ref="G11:I11"/>
    <mergeCell ref="B3:D3"/>
    <mergeCell ref="G7:I7"/>
    <mergeCell ref="B4:C4"/>
    <mergeCell ref="B2:D2"/>
  </mergeCells>
  <conditionalFormatting sqref="A25:B25 D25:M25 A7:M24 A26:M37">
    <cfRule type="expression" dxfId="29" priority="1" stopIfTrue="1">
      <formula>$U7&gt;4</formula>
    </cfRule>
  </conditionalFormatting>
  <conditionalFormatting sqref="N7:N37">
    <cfRule type="cellIs" dxfId="28" priority="2" stopIfTrue="1" operator="greaterThanOrEqual">
      <formula>0</formula>
    </cfRule>
    <cfRule type="cellIs" dxfId="27" priority="3" stopIfTrue="1" operator="lessThan">
      <formula>0</formula>
    </cfRule>
  </conditionalFormatting>
  <dataValidations count="3">
    <dataValidation type="list" allowBlank="1" showInputMessage="1" showErrorMessage="1" sqref="L7:L37" xr:uid="{00000000-0002-0000-0500-000000000000}">
      <formula1>"+,-"</formula1>
    </dataValidation>
    <dataValidation type="time" allowBlank="1" showInputMessage="1" showErrorMessage="1" errorTitle="Fel tidsformat" error="Ange tid som timmar och minuter med kolon som skiljetecken - till exempel 9:30 för klockan halv tio på förmiddagen." sqref="J7:K37 B7:B37 C7:C24 C26:C37" xr:uid="{00000000-0002-0000-0500-000001000000}">
      <formula1>0</formula1>
      <formula2>0.999988425925926</formula2>
    </dataValidation>
    <dataValidation type="time" allowBlank="1" showInputMessage="1" showErrorMessage="1" errorTitle="Fel tidsformat" error="Lunchen måste vara minst 30 minuter - tiden anges med timmar och minuter, till exempel 0:45 för trekvarts timmes lunch." promptTitle="Lunchrast" prompt="Lunchen anges som 30 minuter när &quot;Slutar&quot;-tiden fyllts i. Ändra manuellt om lunchen är längre än 30 minuter." sqref="D7:D37" xr:uid="{00000000-0002-0000-0500-000002000000}">
      <formula1>0.0208217592592593</formula1>
      <formula2>0.333333333333333</formula2>
    </dataValidation>
  </dataValidations>
  <pageMargins left="0.74803149606299213" right="0.74803149606299213" top="0.98425196850393704" bottom="0.98425196850393704" header="0.51181102362204722" footer="0.51181102362204722"/>
  <pageSetup paperSize="9" scale="64" orientation="landscape"/>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Blad7">
    <pageSetUpPr fitToPage="1"/>
  </sheetPr>
  <dimension ref="A1:Y40"/>
  <sheetViews>
    <sheetView workbookViewId="0"/>
  </sheetViews>
  <sheetFormatPr baseColWidth="10" defaultColWidth="9.140625" defaultRowHeight="15" x14ac:dyDescent="0.2"/>
  <cols>
    <col min="1" max="1" width="8.7109375" style="13" customWidth="1"/>
    <col min="2" max="5" width="10.7109375" style="13" customWidth="1"/>
    <col min="6" max="9" width="10.7109375" style="1" customWidth="1"/>
    <col min="10" max="11" width="8.7109375" style="11" customWidth="1"/>
    <col min="12" max="13" width="8.7109375" style="1" customWidth="1"/>
    <col min="14" max="14" width="7.7109375" style="14" customWidth="1"/>
    <col min="15" max="15" width="33.7109375" style="1" customWidth="1"/>
    <col min="16" max="20" width="10.7109375" style="1" customWidth="1"/>
    <col min="21" max="23" width="9.140625" style="122" hidden="1" customWidth="1"/>
    <col min="24" max="25" width="9.140625" style="120" customWidth="1"/>
    <col min="26" max="26" width="9.140625" style="1" customWidth="1"/>
    <col min="27" max="16384" width="9.140625" style="1"/>
  </cols>
  <sheetData>
    <row r="1" spans="1:24" x14ac:dyDescent="0.2">
      <c r="A1" s="66" t="s">
        <v>0</v>
      </c>
      <c r="B1" s="151" t="str">
        <f>Namn</f>
        <v>Håkan Stensby</v>
      </c>
      <c r="C1" s="152"/>
      <c r="D1" s="152"/>
      <c r="E1" s="47" t="s">
        <v>1</v>
      </c>
      <c r="F1" s="115">
        <f>SUM(F7:F37)</f>
        <v>0</v>
      </c>
      <c r="G1" s="51"/>
      <c r="H1" s="47" t="s">
        <v>2</v>
      </c>
      <c r="I1" s="76">
        <f>VLOOKUP(B3,översikt!A61:C72,3,FALSE)*B4</f>
        <v>160</v>
      </c>
      <c r="J1" s="77"/>
      <c r="K1" s="78"/>
      <c r="L1" s="79"/>
      <c r="M1" s="80"/>
      <c r="N1" s="80"/>
      <c r="O1" s="81"/>
      <c r="P1" s="85"/>
      <c r="Q1" s="85"/>
      <c r="R1" s="85"/>
      <c r="S1" s="85"/>
      <c r="T1" s="85"/>
    </row>
    <row r="2" spans="1:24" x14ac:dyDescent="0.2">
      <c r="A2" s="67" t="s">
        <v>3</v>
      </c>
      <c r="B2" s="161" t="str">
        <f>Pnr</f>
        <v>19770217-6418</v>
      </c>
      <c r="C2" s="154"/>
      <c r="D2" s="154"/>
      <c r="E2" s="53" t="s">
        <v>4</v>
      </c>
      <c r="F2" s="116">
        <f>VALUE(SUM(M7:M37)*24)</f>
        <v>0</v>
      </c>
      <c r="G2" s="48"/>
      <c r="H2" s="53" t="s">
        <v>5</v>
      </c>
      <c r="I2" s="82">
        <f>IF(F3=0,0,F3-I1)</f>
        <v>0</v>
      </c>
      <c r="J2" s="83"/>
      <c r="K2" s="84"/>
      <c r="L2" s="85"/>
      <c r="M2" s="86"/>
      <c r="N2" s="87"/>
      <c r="O2" s="88"/>
      <c r="P2" s="85"/>
      <c r="Q2" s="85"/>
      <c r="R2" s="85"/>
      <c r="S2" s="85"/>
      <c r="T2" s="85"/>
    </row>
    <row r="3" spans="1:24" x14ac:dyDescent="0.2">
      <c r="A3" s="67" t="s">
        <v>6</v>
      </c>
      <c r="B3" s="155">
        <f>översikt!A64</f>
        <v>44651</v>
      </c>
      <c r="C3" s="154"/>
      <c r="D3" s="154"/>
      <c r="E3" s="53" t="s">
        <v>7</v>
      </c>
      <c r="F3" s="116">
        <f>F1+F2</f>
        <v>0</v>
      </c>
      <c r="G3" s="49"/>
      <c r="H3" s="53" t="s">
        <v>8</v>
      </c>
      <c r="I3" s="82">
        <f ca="1">mars!I4</f>
        <v>19.5</v>
      </c>
      <c r="J3" s="84"/>
      <c r="K3" s="85"/>
      <c r="L3" s="85"/>
      <c r="M3" s="89"/>
      <c r="N3" s="87"/>
      <c r="O3" s="88"/>
      <c r="P3" s="85"/>
      <c r="Q3" s="85"/>
      <c r="R3" s="85"/>
      <c r="S3" s="85"/>
      <c r="T3" s="85"/>
      <c r="W3" s="123"/>
    </row>
    <row r="4" spans="1:24" x14ac:dyDescent="0.2">
      <c r="A4" s="67" t="s">
        <v>9</v>
      </c>
      <c r="B4" s="159">
        <f>Tjgrad</f>
        <v>1</v>
      </c>
      <c r="C4" s="160"/>
      <c r="D4" s="52"/>
      <c r="E4" s="53" t="s">
        <v>10</v>
      </c>
      <c r="F4" s="50"/>
      <c r="G4" s="49"/>
      <c r="H4" s="53" t="s">
        <v>11</v>
      </c>
      <c r="I4" s="131" t="str">
        <f ca="1">IF(N7="", "-", OFFSET(N6, COUNT(N:N), 0, 1, 1) + I3)</f>
        <v>-</v>
      </c>
      <c r="J4" s="84"/>
      <c r="K4" s="85"/>
      <c r="L4" s="85"/>
      <c r="M4" s="89"/>
      <c r="N4" s="87"/>
      <c r="O4" s="88"/>
      <c r="P4" s="90" t="s">
        <v>12</v>
      </c>
      <c r="Q4" s="85"/>
      <c r="R4" s="85"/>
      <c r="S4" s="85"/>
      <c r="T4" s="85"/>
    </row>
    <row r="5" spans="1:24" x14ac:dyDescent="0.2">
      <c r="A5" s="68"/>
      <c r="B5" s="70" t="s">
        <v>13</v>
      </c>
      <c r="C5" s="70"/>
      <c r="D5" s="70"/>
      <c r="E5" s="70"/>
      <c r="F5" s="70"/>
      <c r="G5" s="70"/>
      <c r="H5" s="70"/>
      <c r="I5" s="70"/>
      <c r="J5" s="70" t="s">
        <v>14</v>
      </c>
      <c r="K5" s="70"/>
      <c r="L5" s="70"/>
      <c r="M5" s="70"/>
      <c r="N5" s="71" t="s">
        <v>15</v>
      </c>
      <c r="O5" s="72"/>
      <c r="P5" s="91" t="s">
        <v>16</v>
      </c>
      <c r="Q5" s="70"/>
      <c r="R5" s="70"/>
      <c r="S5" s="70"/>
      <c r="T5" s="70"/>
      <c r="U5" s="122" t="s">
        <v>17</v>
      </c>
      <c r="V5" s="122" t="s">
        <v>18</v>
      </c>
      <c r="W5" s="122" t="s">
        <v>19</v>
      </c>
    </row>
    <row r="6" spans="1:24" x14ac:dyDescent="0.2">
      <c r="A6" s="69" t="s">
        <v>17</v>
      </c>
      <c r="B6" s="73" t="s">
        <v>20</v>
      </c>
      <c r="C6" s="73" t="s">
        <v>21</v>
      </c>
      <c r="D6" s="73" t="s">
        <v>22</v>
      </c>
      <c r="E6" s="73" t="s">
        <v>23</v>
      </c>
      <c r="F6" s="73" t="s">
        <v>24</v>
      </c>
      <c r="G6" s="73" t="s">
        <v>25</v>
      </c>
      <c r="H6" s="73"/>
      <c r="I6" s="73"/>
      <c r="J6" s="73" t="s">
        <v>26</v>
      </c>
      <c r="K6" s="73" t="s">
        <v>27</v>
      </c>
      <c r="L6" s="73" t="s">
        <v>28</v>
      </c>
      <c r="M6" s="73" t="s">
        <v>29</v>
      </c>
      <c r="N6" s="74" t="s">
        <v>30</v>
      </c>
      <c r="O6" s="75" t="s">
        <v>31</v>
      </c>
      <c r="P6" s="113"/>
      <c r="Q6" s="113"/>
      <c r="R6" s="113"/>
      <c r="S6" s="113"/>
      <c r="T6" s="113"/>
    </row>
    <row r="7" spans="1:24" x14ac:dyDescent="0.2">
      <c r="A7" s="2">
        <f>B3</f>
        <v>44651</v>
      </c>
      <c r="B7" s="3"/>
      <c r="C7" s="3"/>
      <c r="D7" s="3" t="str">
        <f t="shared" ref="D7:D36" si="0">IF(C7="","",0.5/24)</f>
        <v/>
      </c>
      <c r="E7" s="4">
        <f t="shared" ref="E7:E36" si="1">IF(C7="",0,C7-B7-D7)</f>
        <v>0</v>
      </c>
      <c r="F7" s="5">
        <f t="shared" ref="F7:F36" si="2">IF(E7="","",VALUE(E7)*24)</f>
        <v>0</v>
      </c>
      <c r="G7" s="156"/>
      <c r="H7" s="157"/>
      <c r="I7" s="158"/>
      <c r="J7" s="3"/>
      <c r="K7" s="3"/>
      <c r="L7" s="6"/>
      <c r="M7" s="7">
        <f t="shared" ref="M7:M36" si="3">IF(OR(G7="Semester",G7="Sjuk",G7="Vård av barn"),8/24*$B$4,IF(L7="+",K7-J7,IF(L7="-",(K7-J7)*-1,0)))</f>
        <v>0</v>
      </c>
      <c r="N7" s="42" t="str">
        <f t="shared" ref="N7:N36" ca="1" si="4">IF(Dagen&gt;A7,W7-V7,"")</f>
        <v/>
      </c>
      <c r="O7" s="43"/>
      <c r="P7" s="56"/>
      <c r="Q7" s="56"/>
      <c r="R7" s="56"/>
      <c r="S7" s="56"/>
      <c r="T7" s="56"/>
      <c r="U7" s="125">
        <f>IF(A7="",0,WEEKDAY(A7,3))</f>
        <v>2</v>
      </c>
      <c r="V7" s="122">
        <f t="shared" ref="V7:V36" si="5">IF(U7&gt;4,V6,V6+$B$4*8)</f>
        <v>8</v>
      </c>
      <c r="W7" s="124">
        <f t="shared" ref="W7:W36" si="6">VALUE(E7)*24+VALUE(M7)*24+W6</f>
        <v>0</v>
      </c>
    </row>
    <row r="8" spans="1:24" x14ac:dyDescent="0.2">
      <c r="A8" s="8">
        <f t="shared" ref="A8:A36" si="7">A7+1</f>
        <v>44652</v>
      </c>
      <c r="B8" s="9"/>
      <c r="C8" s="9"/>
      <c r="D8" s="3" t="str">
        <f t="shared" si="0"/>
        <v/>
      </c>
      <c r="E8" s="4">
        <f t="shared" si="1"/>
        <v>0</v>
      </c>
      <c r="F8" s="5">
        <f t="shared" si="2"/>
        <v>0</v>
      </c>
      <c r="G8" s="146"/>
      <c r="H8" s="147"/>
      <c r="I8" s="148"/>
      <c r="J8" s="9"/>
      <c r="K8" s="9"/>
      <c r="L8" s="10"/>
      <c r="M8" s="7">
        <f t="shared" si="3"/>
        <v>0</v>
      </c>
      <c r="N8" s="44" t="str">
        <f t="shared" ca="1" si="4"/>
        <v/>
      </c>
      <c r="O8" s="45"/>
      <c r="P8" s="56"/>
      <c r="Q8" s="56"/>
      <c r="R8" s="56"/>
      <c r="S8" s="56"/>
      <c r="T8" s="56"/>
      <c r="U8" s="122">
        <f>IF(A8="",0,WEEKDAY(A8,3))</f>
        <v>3</v>
      </c>
      <c r="V8" s="122">
        <f t="shared" si="5"/>
        <v>16</v>
      </c>
      <c r="W8" s="124">
        <f t="shared" si="6"/>
        <v>0</v>
      </c>
      <c r="X8" s="121"/>
    </row>
    <row r="9" spans="1:24" x14ac:dyDescent="0.2">
      <c r="A9" s="8">
        <f t="shared" si="7"/>
        <v>44653</v>
      </c>
      <c r="B9" s="9"/>
      <c r="C9" s="9"/>
      <c r="D9" s="3" t="str">
        <f t="shared" si="0"/>
        <v/>
      </c>
      <c r="E9" s="4">
        <f t="shared" si="1"/>
        <v>0</v>
      </c>
      <c r="F9" s="5">
        <f t="shared" si="2"/>
        <v>0</v>
      </c>
      <c r="G9" s="146" t="s">
        <v>86</v>
      </c>
      <c r="H9" s="147"/>
      <c r="I9" s="148"/>
      <c r="J9" s="9"/>
      <c r="K9" s="9"/>
      <c r="L9" s="10"/>
      <c r="M9" s="7">
        <f t="shared" si="3"/>
        <v>0</v>
      </c>
      <c r="N9" s="44" t="str">
        <f t="shared" ca="1" si="4"/>
        <v/>
      </c>
      <c r="O9" s="45"/>
      <c r="P9" s="56"/>
      <c r="Q9" s="56"/>
      <c r="R9" s="56"/>
      <c r="S9" s="56"/>
      <c r="T9" s="56"/>
      <c r="U9" s="122">
        <v>8</v>
      </c>
      <c r="V9" s="122">
        <f t="shared" si="5"/>
        <v>16</v>
      </c>
      <c r="W9" s="124">
        <f t="shared" si="6"/>
        <v>0</v>
      </c>
      <c r="X9" s="121"/>
    </row>
    <row r="10" spans="1:24" x14ac:dyDescent="0.2">
      <c r="A10" s="8">
        <f t="shared" si="7"/>
        <v>44654</v>
      </c>
      <c r="B10" s="9"/>
      <c r="C10" s="9"/>
      <c r="D10" s="3" t="str">
        <f t="shared" si="0"/>
        <v/>
      </c>
      <c r="E10" s="4">
        <f t="shared" si="1"/>
        <v>0</v>
      </c>
      <c r="F10" s="5">
        <f t="shared" si="2"/>
        <v>0</v>
      </c>
      <c r="G10" s="167"/>
      <c r="H10" s="168"/>
      <c r="I10" s="169"/>
      <c r="J10" s="34"/>
      <c r="K10" s="34"/>
      <c r="L10" s="35"/>
      <c r="M10" s="7">
        <f t="shared" si="3"/>
        <v>0</v>
      </c>
      <c r="N10" s="44" t="str">
        <f t="shared" ca="1" si="4"/>
        <v/>
      </c>
      <c r="O10" s="45"/>
      <c r="P10" s="56"/>
      <c r="Q10" s="56"/>
      <c r="R10" s="56"/>
      <c r="S10" s="56"/>
      <c r="T10" s="56"/>
      <c r="U10" s="122">
        <f>IF(A10="",0,WEEKDAY(A10,3))</f>
        <v>5</v>
      </c>
      <c r="V10" s="122">
        <f t="shared" si="5"/>
        <v>16</v>
      </c>
      <c r="W10" s="124">
        <f t="shared" si="6"/>
        <v>0</v>
      </c>
      <c r="X10" s="121"/>
    </row>
    <row r="11" spans="1:24" x14ac:dyDescent="0.2">
      <c r="A11" s="8">
        <f t="shared" si="7"/>
        <v>44655</v>
      </c>
      <c r="B11" s="9"/>
      <c r="C11" s="9"/>
      <c r="D11" s="3" t="str">
        <f t="shared" si="0"/>
        <v/>
      </c>
      <c r="E11" s="4">
        <f t="shared" si="1"/>
        <v>0</v>
      </c>
      <c r="F11" s="5">
        <f t="shared" si="2"/>
        <v>0</v>
      </c>
      <c r="G11" s="146" t="s">
        <v>87</v>
      </c>
      <c r="H11" s="147"/>
      <c r="I11" s="148"/>
      <c r="J11" s="9"/>
      <c r="K11" s="9"/>
      <c r="L11" s="10"/>
      <c r="M11" s="7">
        <f t="shared" si="3"/>
        <v>0</v>
      </c>
      <c r="N11" s="44" t="str">
        <f t="shared" ca="1" si="4"/>
        <v/>
      </c>
      <c r="O11" s="45"/>
      <c r="P11" s="56"/>
      <c r="Q11" s="56"/>
      <c r="R11" s="56"/>
      <c r="S11" s="56"/>
      <c r="T11" s="56"/>
      <c r="U11" s="122">
        <f>IF(A11="",0,WEEKDAY(A11,3))</f>
        <v>6</v>
      </c>
      <c r="V11" s="125">
        <f t="shared" si="5"/>
        <v>16</v>
      </c>
      <c r="W11" s="124">
        <f t="shared" si="6"/>
        <v>0</v>
      </c>
      <c r="X11" s="121"/>
    </row>
    <row r="12" spans="1:24" x14ac:dyDescent="0.2">
      <c r="A12" s="8">
        <f t="shared" si="7"/>
        <v>44656</v>
      </c>
      <c r="B12" s="9"/>
      <c r="C12" s="9"/>
      <c r="D12" s="3" t="str">
        <f t="shared" si="0"/>
        <v/>
      </c>
      <c r="E12" s="4">
        <f t="shared" si="1"/>
        <v>0</v>
      </c>
      <c r="F12" s="5">
        <f t="shared" si="2"/>
        <v>0</v>
      </c>
      <c r="G12" s="156" t="s">
        <v>88</v>
      </c>
      <c r="H12" s="157"/>
      <c r="I12" s="158"/>
      <c r="J12" s="3"/>
      <c r="K12" s="3"/>
      <c r="L12" s="6"/>
      <c r="M12" s="7">
        <f t="shared" si="3"/>
        <v>0</v>
      </c>
      <c r="N12" s="44" t="str">
        <f t="shared" ca="1" si="4"/>
        <v/>
      </c>
      <c r="O12" s="45"/>
      <c r="P12" s="56"/>
      <c r="Q12" s="56"/>
      <c r="R12" s="56"/>
      <c r="S12" s="56"/>
      <c r="T12" s="56"/>
      <c r="U12" s="125">
        <v>8</v>
      </c>
      <c r="V12" s="122">
        <f t="shared" si="5"/>
        <v>16</v>
      </c>
      <c r="W12" s="124">
        <f t="shared" si="6"/>
        <v>0</v>
      </c>
      <c r="X12" s="121"/>
    </row>
    <row r="13" spans="1:24" x14ac:dyDescent="0.2">
      <c r="A13" s="8">
        <f t="shared" si="7"/>
        <v>44657</v>
      </c>
      <c r="B13" s="9"/>
      <c r="C13" s="9"/>
      <c r="D13" s="3" t="str">
        <f t="shared" si="0"/>
        <v/>
      </c>
      <c r="E13" s="4">
        <f t="shared" si="1"/>
        <v>0</v>
      </c>
      <c r="F13" s="5">
        <f t="shared" si="2"/>
        <v>0</v>
      </c>
      <c r="G13" s="146"/>
      <c r="H13" s="147"/>
      <c r="I13" s="148"/>
      <c r="J13" s="9"/>
      <c r="K13" s="9"/>
      <c r="L13" s="10"/>
      <c r="M13" s="7">
        <f t="shared" si="3"/>
        <v>0</v>
      </c>
      <c r="N13" s="44" t="str">
        <f t="shared" ca="1" si="4"/>
        <v/>
      </c>
      <c r="O13" s="45"/>
      <c r="P13" s="56"/>
      <c r="Q13" s="56"/>
      <c r="R13" s="56"/>
      <c r="S13" s="56"/>
      <c r="T13" s="56"/>
      <c r="U13" s="122">
        <f t="shared" ref="U13:U36" si="8">IF(A13="",0,WEEKDAY(A13,3))</f>
        <v>1</v>
      </c>
      <c r="V13" s="122">
        <f t="shared" si="5"/>
        <v>24</v>
      </c>
      <c r="W13" s="124">
        <f t="shared" si="6"/>
        <v>0</v>
      </c>
      <c r="X13" s="121"/>
    </row>
    <row r="14" spans="1:24" x14ac:dyDescent="0.2">
      <c r="A14" s="8">
        <f t="shared" si="7"/>
        <v>44658</v>
      </c>
      <c r="B14" s="9"/>
      <c r="C14" s="9"/>
      <c r="D14" s="3" t="str">
        <f t="shared" si="0"/>
        <v/>
      </c>
      <c r="E14" s="4">
        <f t="shared" si="1"/>
        <v>0</v>
      </c>
      <c r="F14" s="5">
        <f t="shared" si="2"/>
        <v>0</v>
      </c>
      <c r="G14" s="146"/>
      <c r="H14" s="147"/>
      <c r="I14" s="148"/>
      <c r="J14" s="9"/>
      <c r="K14" s="9"/>
      <c r="L14" s="10"/>
      <c r="M14" s="7">
        <f t="shared" si="3"/>
        <v>0</v>
      </c>
      <c r="N14" s="44" t="str">
        <f t="shared" ca="1" si="4"/>
        <v/>
      </c>
      <c r="O14" s="45"/>
      <c r="P14" s="56"/>
      <c r="Q14" s="56"/>
      <c r="R14" s="56"/>
      <c r="S14" s="56"/>
      <c r="T14" s="56"/>
      <c r="U14" s="122">
        <f t="shared" si="8"/>
        <v>2</v>
      </c>
      <c r="V14" s="122">
        <f t="shared" si="5"/>
        <v>32</v>
      </c>
      <c r="W14" s="124">
        <f t="shared" si="6"/>
        <v>0</v>
      </c>
      <c r="X14" s="121"/>
    </row>
    <row r="15" spans="1:24" x14ac:dyDescent="0.2">
      <c r="A15" s="8">
        <f t="shared" si="7"/>
        <v>44659</v>
      </c>
      <c r="B15" s="9"/>
      <c r="C15" s="9"/>
      <c r="D15" s="3" t="str">
        <f t="shared" si="0"/>
        <v/>
      </c>
      <c r="E15" s="4">
        <f t="shared" si="1"/>
        <v>0</v>
      </c>
      <c r="F15" s="5">
        <f t="shared" si="2"/>
        <v>0</v>
      </c>
      <c r="G15" s="146"/>
      <c r="H15" s="147"/>
      <c r="I15" s="148"/>
      <c r="J15" s="9"/>
      <c r="K15" s="9"/>
      <c r="L15" s="10"/>
      <c r="M15" s="7">
        <f t="shared" si="3"/>
        <v>0</v>
      </c>
      <c r="N15" s="44" t="str">
        <f t="shared" ca="1" si="4"/>
        <v/>
      </c>
      <c r="O15" s="45"/>
      <c r="P15" s="56"/>
      <c r="Q15" s="56"/>
      <c r="R15" s="56"/>
      <c r="S15" s="56"/>
      <c r="T15" s="56"/>
      <c r="U15" s="122">
        <f t="shared" si="8"/>
        <v>3</v>
      </c>
      <c r="V15" s="122">
        <f t="shared" si="5"/>
        <v>40</v>
      </c>
      <c r="W15" s="124">
        <f t="shared" si="6"/>
        <v>0</v>
      </c>
    </row>
    <row r="16" spans="1:24" x14ac:dyDescent="0.2">
      <c r="A16" s="8">
        <f t="shared" si="7"/>
        <v>44660</v>
      </c>
      <c r="B16" s="9"/>
      <c r="C16" s="9"/>
      <c r="D16" s="3" t="str">
        <f t="shared" si="0"/>
        <v/>
      </c>
      <c r="E16" s="4">
        <f t="shared" si="1"/>
        <v>0</v>
      </c>
      <c r="F16" s="5">
        <f t="shared" si="2"/>
        <v>0</v>
      </c>
      <c r="G16" s="146"/>
      <c r="H16" s="147"/>
      <c r="I16" s="148"/>
      <c r="J16" s="9"/>
      <c r="K16" s="9"/>
      <c r="L16" s="10"/>
      <c r="M16" s="7">
        <f t="shared" si="3"/>
        <v>0</v>
      </c>
      <c r="N16" s="44" t="str">
        <f t="shared" ca="1" si="4"/>
        <v/>
      </c>
      <c r="O16" s="45"/>
      <c r="P16" s="56"/>
      <c r="Q16" s="56"/>
      <c r="R16" s="56"/>
      <c r="S16" s="56"/>
      <c r="T16" s="56"/>
      <c r="U16" s="122">
        <f t="shared" si="8"/>
        <v>4</v>
      </c>
      <c r="V16" s="122">
        <f t="shared" si="5"/>
        <v>48</v>
      </c>
      <c r="W16" s="124">
        <f t="shared" si="6"/>
        <v>0</v>
      </c>
    </row>
    <row r="17" spans="1:23" x14ac:dyDescent="0.2">
      <c r="A17" s="8">
        <f t="shared" si="7"/>
        <v>44661</v>
      </c>
      <c r="B17" s="9"/>
      <c r="C17" s="9"/>
      <c r="D17" s="3" t="str">
        <f t="shared" si="0"/>
        <v/>
      </c>
      <c r="E17" s="4">
        <f t="shared" si="1"/>
        <v>0</v>
      </c>
      <c r="F17" s="5">
        <f t="shared" si="2"/>
        <v>0</v>
      </c>
      <c r="G17" s="146"/>
      <c r="H17" s="147"/>
      <c r="I17" s="148"/>
      <c r="J17" s="9"/>
      <c r="K17" s="9"/>
      <c r="L17" s="10"/>
      <c r="M17" s="7">
        <f t="shared" si="3"/>
        <v>0</v>
      </c>
      <c r="N17" s="44" t="str">
        <f t="shared" ca="1" si="4"/>
        <v/>
      </c>
      <c r="O17" s="45"/>
      <c r="P17" s="56"/>
      <c r="Q17" s="56"/>
      <c r="R17" s="56"/>
      <c r="S17" s="56"/>
      <c r="T17" s="56"/>
      <c r="U17" s="122">
        <f t="shared" si="8"/>
        <v>5</v>
      </c>
      <c r="V17" s="122">
        <f t="shared" si="5"/>
        <v>48</v>
      </c>
      <c r="W17" s="124">
        <f t="shared" si="6"/>
        <v>0</v>
      </c>
    </row>
    <row r="18" spans="1:23" x14ac:dyDescent="0.2">
      <c r="A18" s="8">
        <f t="shared" si="7"/>
        <v>44662</v>
      </c>
      <c r="B18" s="9"/>
      <c r="C18" s="9"/>
      <c r="D18" s="3" t="str">
        <f t="shared" si="0"/>
        <v/>
      </c>
      <c r="E18" s="4">
        <f t="shared" si="1"/>
        <v>0</v>
      </c>
      <c r="F18" s="5">
        <f t="shared" si="2"/>
        <v>0</v>
      </c>
      <c r="G18" s="146"/>
      <c r="H18" s="147"/>
      <c r="I18" s="148"/>
      <c r="J18" s="9"/>
      <c r="K18" s="9"/>
      <c r="L18" s="10"/>
      <c r="M18" s="7">
        <f t="shared" si="3"/>
        <v>0</v>
      </c>
      <c r="N18" s="44" t="str">
        <f t="shared" ca="1" si="4"/>
        <v/>
      </c>
      <c r="O18" s="45"/>
      <c r="P18" s="56"/>
      <c r="Q18" s="56"/>
      <c r="R18" s="56"/>
      <c r="S18" s="56"/>
      <c r="T18" s="56"/>
      <c r="U18" s="122">
        <f t="shared" si="8"/>
        <v>6</v>
      </c>
      <c r="V18" s="122">
        <f t="shared" si="5"/>
        <v>48</v>
      </c>
      <c r="W18" s="124">
        <f t="shared" si="6"/>
        <v>0</v>
      </c>
    </row>
    <row r="19" spans="1:23" x14ac:dyDescent="0.2">
      <c r="A19" s="8">
        <f t="shared" si="7"/>
        <v>44663</v>
      </c>
      <c r="B19" s="9"/>
      <c r="C19" s="9"/>
      <c r="D19" s="3" t="str">
        <f t="shared" si="0"/>
        <v/>
      </c>
      <c r="E19" s="4">
        <f t="shared" si="1"/>
        <v>0</v>
      </c>
      <c r="F19" s="5">
        <f t="shared" si="2"/>
        <v>0</v>
      </c>
      <c r="G19" s="146"/>
      <c r="H19" s="147"/>
      <c r="I19" s="148"/>
      <c r="J19" s="9"/>
      <c r="K19" s="9"/>
      <c r="L19" s="10"/>
      <c r="M19" s="7">
        <f t="shared" si="3"/>
        <v>0</v>
      </c>
      <c r="N19" s="44" t="str">
        <f t="shared" ca="1" si="4"/>
        <v/>
      </c>
      <c r="O19" s="45"/>
      <c r="P19" s="56"/>
      <c r="Q19" s="56"/>
      <c r="R19" s="56"/>
      <c r="S19" s="56"/>
      <c r="T19" s="56"/>
      <c r="U19" s="122">
        <f t="shared" si="8"/>
        <v>0</v>
      </c>
      <c r="V19" s="122">
        <f t="shared" si="5"/>
        <v>56</v>
      </c>
      <c r="W19" s="124">
        <f t="shared" si="6"/>
        <v>0</v>
      </c>
    </row>
    <row r="20" spans="1:23" x14ac:dyDescent="0.2">
      <c r="A20" s="8">
        <f t="shared" si="7"/>
        <v>44664</v>
      </c>
      <c r="B20" s="9"/>
      <c r="C20" s="144"/>
      <c r="D20" s="3" t="str">
        <f t="shared" si="0"/>
        <v/>
      </c>
      <c r="E20" s="4">
        <f t="shared" si="1"/>
        <v>0</v>
      </c>
      <c r="F20" s="5">
        <f t="shared" si="2"/>
        <v>0</v>
      </c>
      <c r="G20" s="146"/>
      <c r="H20" s="147"/>
      <c r="I20" s="148"/>
      <c r="J20" s="9"/>
      <c r="K20" s="9"/>
      <c r="L20" s="10"/>
      <c r="M20" s="7">
        <f t="shared" si="3"/>
        <v>0</v>
      </c>
      <c r="N20" s="44" t="str">
        <f t="shared" ca="1" si="4"/>
        <v/>
      </c>
      <c r="O20" s="45"/>
      <c r="P20" s="56"/>
      <c r="Q20" s="56"/>
      <c r="R20" s="56"/>
      <c r="S20" s="56"/>
      <c r="T20" s="56"/>
      <c r="U20" s="122">
        <f t="shared" si="8"/>
        <v>1</v>
      </c>
      <c r="V20" s="122">
        <f t="shared" si="5"/>
        <v>64</v>
      </c>
      <c r="W20" s="124">
        <f t="shared" si="6"/>
        <v>0</v>
      </c>
    </row>
    <row r="21" spans="1:23" x14ac:dyDescent="0.2">
      <c r="A21" s="8">
        <f t="shared" si="7"/>
        <v>44665</v>
      </c>
      <c r="B21" s="9"/>
      <c r="C21" s="9"/>
      <c r="D21" s="3" t="str">
        <f t="shared" si="0"/>
        <v/>
      </c>
      <c r="E21" s="4">
        <f t="shared" si="1"/>
        <v>0</v>
      </c>
      <c r="F21" s="5">
        <f t="shared" si="2"/>
        <v>0</v>
      </c>
      <c r="G21" s="146"/>
      <c r="H21" s="147"/>
      <c r="I21" s="148"/>
      <c r="J21" s="9"/>
      <c r="K21" s="9"/>
      <c r="L21" s="10"/>
      <c r="M21" s="7">
        <f t="shared" si="3"/>
        <v>0</v>
      </c>
      <c r="N21" s="44" t="str">
        <f t="shared" ca="1" si="4"/>
        <v/>
      </c>
      <c r="O21" s="45"/>
      <c r="P21" s="56"/>
      <c r="Q21" s="56"/>
      <c r="R21" s="56"/>
      <c r="S21" s="56"/>
      <c r="T21" s="56"/>
      <c r="U21" s="122">
        <f t="shared" si="8"/>
        <v>2</v>
      </c>
      <c r="V21" s="122">
        <f t="shared" si="5"/>
        <v>72</v>
      </c>
      <c r="W21" s="124">
        <f t="shared" si="6"/>
        <v>0</v>
      </c>
    </row>
    <row r="22" spans="1:23" x14ac:dyDescent="0.2">
      <c r="A22" s="8">
        <f t="shared" si="7"/>
        <v>44666</v>
      </c>
      <c r="B22" s="9"/>
      <c r="C22" s="144"/>
      <c r="D22" s="3" t="str">
        <f t="shared" si="0"/>
        <v/>
      </c>
      <c r="E22" s="4">
        <f t="shared" si="1"/>
        <v>0</v>
      </c>
      <c r="F22" s="5">
        <f t="shared" si="2"/>
        <v>0</v>
      </c>
      <c r="G22" s="146"/>
      <c r="H22" s="147"/>
      <c r="I22" s="148"/>
      <c r="J22" s="9"/>
      <c r="K22" s="9"/>
      <c r="L22" s="10"/>
      <c r="M22" s="7">
        <f t="shared" si="3"/>
        <v>0</v>
      </c>
      <c r="N22" s="44" t="str">
        <f t="shared" ca="1" si="4"/>
        <v/>
      </c>
      <c r="O22" s="45"/>
      <c r="P22" s="56"/>
      <c r="Q22" s="56"/>
      <c r="R22" s="56"/>
      <c r="S22" s="56"/>
      <c r="T22" s="56"/>
      <c r="U22" s="122">
        <f t="shared" si="8"/>
        <v>3</v>
      </c>
      <c r="V22" s="122">
        <f t="shared" si="5"/>
        <v>80</v>
      </c>
      <c r="W22" s="124">
        <f t="shared" si="6"/>
        <v>0</v>
      </c>
    </row>
    <row r="23" spans="1:23" x14ac:dyDescent="0.2">
      <c r="A23" s="8">
        <f t="shared" si="7"/>
        <v>44667</v>
      </c>
      <c r="B23" s="9"/>
      <c r="C23" s="9"/>
      <c r="D23" s="3" t="str">
        <f t="shared" si="0"/>
        <v/>
      </c>
      <c r="E23" s="4">
        <f t="shared" si="1"/>
        <v>0</v>
      </c>
      <c r="F23" s="5">
        <f t="shared" si="2"/>
        <v>0</v>
      </c>
      <c r="G23" s="146"/>
      <c r="H23" s="147"/>
      <c r="I23" s="148"/>
      <c r="J23" s="9"/>
      <c r="K23" s="9"/>
      <c r="L23" s="10"/>
      <c r="M23" s="7">
        <f t="shared" si="3"/>
        <v>0</v>
      </c>
      <c r="N23" s="44" t="str">
        <f t="shared" ca="1" si="4"/>
        <v/>
      </c>
      <c r="O23" s="45"/>
      <c r="P23" s="56"/>
      <c r="Q23" s="56"/>
      <c r="R23" s="56"/>
      <c r="S23" s="56"/>
      <c r="T23" s="56"/>
      <c r="U23" s="122">
        <f t="shared" si="8"/>
        <v>4</v>
      </c>
      <c r="V23" s="122">
        <f t="shared" si="5"/>
        <v>88</v>
      </c>
      <c r="W23" s="124">
        <f t="shared" si="6"/>
        <v>0</v>
      </c>
    </row>
    <row r="24" spans="1:23" x14ac:dyDescent="0.2">
      <c r="A24" s="8">
        <f t="shared" si="7"/>
        <v>44668</v>
      </c>
      <c r="B24" s="9"/>
      <c r="C24" s="9"/>
      <c r="D24" s="3" t="str">
        <f t="shared" si="0"/>
        <v/>
      </c>
      <c r="E24" s="4">
        <f t="shared" si="1"/>
        <v>0</v>
      </c>
      <c r="F24" s="5">
        <f t="shared" si="2"/>
        <v>0</v>
      </c>
      <c r="G24" s="146"/>
      <c r="H24" s="147"/>
      <c r="I24" s="148"/>
      <c r="J24" s="9"/>
      <c r="K24" s="9"/>
      <c r="L24" s="10"/>
      <c r="M24" s="7">
        <f t="shared" si="3"/>
        <v>0</v>
      </c>
      <c r="N24" s="44" t="str">
        <f t="shared" ca="1" si="4"/>
        <v/>
      </c>
      <c r="O24" s="45"/>
      <c r="P24" s="56"/>
      <c r="Q24" s="56"/>
      <c r="R24" s="56"/>
      <c r="S24" s="56"/>
      <c r="T24" s="56"/>
      <c r="U24" s="122">
        <f t="shared" si="8"/>
        <v>5</v>
      </c>
      <c r="V24" s="122">
        <f t="shared" si="5"/>
        <v>88</v>
      </c>
      <c r="W24" s="124">
        <f t="shared" si="6"/>
        <v>0</v>
      </c>
    </row>
    <row r="25" spans="1:23" x14ac:dyDescent="0.2">
      <c r="A25" s="8">
        <f t="shared" si="7"/>
        <v>44669</v>
      </c>
      <c r="B25" s="9"/>
      <c r="C25" s="9"/>
      <c r="D25" s="3" t="str">
        <f t="shared" si="0"/>
        <v/>
      </c>
      <c r="E25" s="4">
        <f t="shared" si="1"/>
        <v>0</v>
      </c>
      <c r="F25" s="5">
        <f t="shared" si="2"/>
        <v>0</v>
      </c>
      <c r="G25" s="146"/>
      <c r="H25" s="147"/>
      <c r="I25" s="148"/>
      <c r="J25" s="9"/>
      <c r="K25" s="9"/>
      <c r="L25" s="10"/>
      <c r="M25" s="7">
        <f t="shared" si="3"/>
        <v>0</v>
      </c>
      <c r="N25" s="44" t="str">
        <f t="shared" ca="1" si="4"/>
        <v/>
      </c>
      <c r="O25" s="45"/>
      <c r="P25" s="56"/>
      <c r="Q25" s="56"/>
      <c r="R25" s="56"/>
      <c r="S25" s="56"/>
      <c r="T25" s="56"/>
      <c r="U25" s="122">
        <f t="shared" si="8"/>
        <v>6</v>
      </c>
      <c r="V25" s="122">
        <f t="shared" si="5"/>
        <v>88</v>
      </c>
      <c r="W25" s="124">
        <f t="shared" si="6"/>
        <v>0</v>
      </c>
    </row>
    <row r="26" spans="1:23" x14ac:dyDescent="0.2">
      <c r="A26" s="8">
        <f t="shared" si="7"/>
        <v>44670</v>
      </c>
      <c r="B26" s="9"/>
      <c r="C26" s="9"/>
      <c r="D26" s="3" t="str">
        <f t="shared" si="0"/>
        <v/>
      </c>
      <c r="E26" s="4">
        <f t="shared" si="1"/>
        <v>0</v>
      </c>
      <c r="F26" s="5">
        <f t="shared" si="2"/>
        <v>0</v>
      </c>
      <c r="G26" s="146"/>
      <c r="H26" s="147"/>
      <c r="I26" s="148"/>
      <c r="J26" s="9"/>
      <c r="K26" s="9"/>
      <c r="L26" s="10"/>
      <c r="M26" s="7">
        <f t="shared" si="3"/>
        <v>0</v>
      </c>
      <c r="N26" s="44" t="str">
        <f t="shared" ca="1" si="4"/>
        <v/>
      </c>
      <c r="O26" s="45"/>
      <c r="P26" s="56"/>
      <c r="Q26" s="56"/>
      <c r="R26" s="56"/>
      <c r="S26" s="56"/>
      <c r="T26" s="56"/>
      <c r="U26" s="122">
        <f t="shared" si="8"/>
        <v>0</v>
      </c>
      <c r="V26" s="122">
        <f t="shared" si="5"/>
        <v>96</v>
      </c>
      <c r="W26" s="124">
        <f t="shared" si="6"/>
        <v>0</v>
      </c>
    </row>
    <row r="27" spans="1:23" x14ac:dyDescent="0.2">
      <c r="A27" s="8">
        <f t="shared" si="7"/>
        <v>44671</v>
      </c>
      <c r="B27" s="9"/>
      <c r="C27" s="9"/>
      <c r="D27" s="3" t="str">
        <f t="shared" si="0"/>
        <v/>
      </c>
      <c r="E27" s="4">
        <f t="shared" si="1"/>
        <v>0</v>
      </c>
      <c r="F27" s="5">
        <f t="shared" si="2"/>
        <v>0</v>
      </c>
      <c r="G27" s="146"/>
      <c r="H27" s="147"/>
      <c r="I27" s="148"/>
      <c r="J27" s="9"/>
      <c r="K27" s="9"/>
      <c r="L27" s="10"/>
      <c r="M27" s="7">
        <f t="shared" si="3"/>
        <v>0</v>
      </c>
      <c r="N27" s="44" t="str">
        <f t="shared" ca="1" si="4"/>
        <v/>
      </c>
      <c r="O27" s="45"/>
      <c r="P27" s="56"/>
      <c r="Q27" s="56"/>
      <c r="R27" s="56"/>
      <c r="S27" s="56"/>
      <c r="T27" s="56"/>
      <c r="U27" s="122">
        <f t="shared" si="8"/>
        <v>1</v>
      </c>
      <c r="V27" s="122">
        <f t="shared" si="5"/>
        <v>104</v>
      </c>
      <c r="W27" s="124">
        <f t="shared" si="6"/>
        <v>0</v>
      </c>
    </row>
    <row r="28" spans="1:23" x14ac:dyDescent="0.2">
      <c r="A28" s="8">
        <f t="shared" si="7"/>
        <v>44672</v>
      </c>
      <c r="B28" s="9"/>
      <c r="C28" s="9"/>
      <c r="D28" s="3" t="str">
        <f t="shared" si="0"/>
        <v/>
      </c>
      <c r="E28" s="4">
        <f t="shared" si="1"/>
        <v>0</v>
      </c>
      <c r="F28" s="5">
        <f t="shared" si="2"/>
        <v>0</v>
      </c>
      <c r="G28" s="146"/>
      <c r="H28" s="147"/>
      <c r="I28" s="148"/>
      <c r="J28" s="9"/>
      <c r="K28" s="9"/>
      <c r="L28" s="10"/>
      <c r="M28" s="7">
        <f t="shared" si="3"/>
        <v>0</v>
      </c>
      <c r="N28" s="44" t="str">
        <f t="shared" ca="1" si="4"/>
        <v/>
      </c>
      <c r="O28" s="45"/>
      <c r="P28" s="56"/>
      <c r="Q28" s="56"/>
      <c r="R28" s="56"/>
      <c r="S28" s="56"/>
      <c r="T28" s="56"/>
      <c r="U28" s="122">
        <f t="shared" si="8"/>
        <v>2</v>
      </c>
      <c r="V28" s="122">
        <f t="shared" si="5"/>
        <v>112</v>
      </c>
      <c r="W28" s="124">
        <f t="shared" si="6"/>
        <v>0</v>
      </c>
    </row>
    <row r="29" spans="1:23" x14ac:dyDescent="0.2">
      <c r="A29" s="8">
        <f t="shared" si="7"/>
        <v>44673</v>
      </c>
      <c r="B29" s="9"/>
      <c r="C29" s="9"/>
      <c r="D29" s="3" t="str">
        <f t="shared" si="0"/>
        <v/>
      </c>
      <c r="E29" s="4">
        <f t="shared" si="1"/>
        <v>0</v>
      </c>
      <c r="F29" s="5">
        <f t="shared" si="2"/>
        <v>0</v>
      </c>
      <c r="G29" s="146"/>
      <c r="H29" s="147"/>
      <c r="I29" s="148"/>
      <c r="J29" s="9"/>
      <c r="K29" s="9"/>
      <c r="L29" s="10"/>
      <c r="M29" s="7">
        <f t="shared" si="3"/>
        <v>0</v>
      </c>
      <c r="N29" s="44" t="str">
        <f t="shared" ca="1" si="4"/>
        <v/>
      </c>
      <c r="O29" s="45"/>
      <c r="P29" s="56"/>
      <c r="Q29" s="56"/>
      <c r="R29" s="56"/>
      <c r="S29" s="56"/>
      <c r="T29" s="56"/>
      <c r="U29" s="122">
        <f t="shared" si="8"/>
        <v>3</v>
      </c>
      <c r="V29" s="122">
        <f t="shared" si="5"/>
        <v>120</v>
      </c>
      <c r="W29" s="124">
        <f t="shared" si="6"/>
        <v>0</v>
      </c>
    </row>
    <row r="30" spans="1:23" x14ac:dyDescent="0.2">
      <c r="A30" s="8">
        <f t="shared" si="7"/>
        <v>44674</v>
      </c>
      <c r="B30" s="9"/>
      <c r="C30" s="9"/>
      <c r="D30" s="3" t="str">
        <f t="shared" si="0"/>
        <v/>
      </c>
      <c r="E30" s="4">
        <f t="shared" si="1"/>
        <v>0</v>
      </c>
      <c r="F30" s="5">
        <f t="shared" si="2"/>
        <v>0</v>
      </c>
      <c r="G30" s="146"/>
      <c r="H30" s="147"/>
      <c r="I30" s="148"/>
      <c r="J30" s="9"/>
      <c r="K30" s="9"/>
      <c r="L30" s="10"/>
      <c r="M30" s="7">
        <f t="shared" si="3"/>
        <v>0</v>
      </c>
      <c r="N30" s="44" t="str">
        <f t="shared" ca="1" si="4"/>
        <v/>
      </c>
      <c r="O30" s="45"/>
      <c r="P30" s="56"/>
      <c r="Q30" s="56"/>
      <c r="R30" s="56"/>
      <c r="S30" s="56"/>
      <c r="T30" s="56"/>
      <c r="U30" s="122">
        <f t="shared" si="8"/>
        <v>4</v>
      </c>
      <c r="V30" s="122">
        <f t="shared" si="5"/>
        <v>128</v>
      </c>
      <c r="W30" s="124">
        <f t="shared" si="6"/>
        <v>0</v>
      </c>
    </row>
    <row r="31" spans="1:23" x14ac:dyDescent="0.2">
      <c r="A31" s="8">
        <f t="shared" si="7"/>
        <v>44675</v>
      </c>
      <c r="B31" s="9"/>
      <c r="C31" s="9"/>
      <c r="D31" s="3" t="str">
        <f t="shared" si="0"/>
        <v/>
      </c>
      <c r="E31" s="4">
        <f t="shared" si="1"/>
        <v>0</v>
      </c>
      <c r="F31" s="5">
        <f t="shared" si="2"/>
        <v>0</v>
      </c>
      <c r="G31" s="146"/>
      <c r="H31" s="147"/>
      <c r="I31" s="148"/>
      <c r="J31" s="9"/>
      <c r="K31" s="9"/>
      <c r="L31" s="10"/>
      <c r="M31" s="7">
        <f t="shared" si="3"/>
        <v>0</v>
      </c>
      <c r="N31" s="44" t="str">
        <f t="shared" ca="1" si="4"/>
        <v/>
      </c>
      <c r="O31" s="45"/>
      <c r="P31" s="56"/>
      <c r="Q31" s="56"/>
      <c r="R31" s="56"/>
      <c r="S31" s="56"/>
      <c r="T31" s="56"/>
      <c r="U31" s="122">
        <f t="shared" si="8"/>
        <v>5</v>
      </c>
      <c r="V31" s="122">
        <f t="shared" si="5"/>
        <v>128</v>
      </c>
      <c r="W31" s="124">
        <f t="shared" si="6"/>
        <v>0</v>
      </c>
    </row>
    <row r="32" spans="1:23" x14ac:dyDescent="0.2">
      <c r="A32" s="8">
        <f t="shared" si="7"/>
        <v>44676</v>
      </c>
      <c r="B32" s="9"/>
      <c r="C32" s="9"/>
      <c r="D32" s="3" t="str">
        <f t="shared" si="0"/>
        <v/>
      </c>
      <c r="E32" s="4">
        <f t="shared" si="1"/>
        <v>0</v>
      </c>
      <c r="F32" s="5">
        <f t="shared" si="2"/>
        <v>0</v>
      </c>
      <c r="G32" s="146"/>
      <c r="H32" s="147"/>
      <c r="I32" s="148"/>
      <c r="J32" s="9"/>
      <c r="K32" s="9"/>
      <c r="L32" s="10"/>
      <c r="M32" s="7">
        <f t="shared" si="3"/>
        <v>0</v>
      </c>
      <c r="N32" s="44" t="str">
        <f t="shared" ca="1" si="4"/>
        <v/>
      </c>
      <c r="O32" s="45"/>
      <c r="P32" s="56"/>
      <c r="Q32" s="56"/>
      <c r="R32" s="56"/>
      <c r="S32" s="56"/>
      <c r="T32" s="56"/>
      <c r="U32" s="122">
        <f t="shared" si="8"/>
        <v>6</v>
      </c>
      <c r="V32" s="122">
        <f t="shared" si="5"/>
        <v>128</v>
      </c>
      <c r="W32" s="124">
        <f t="shared" si="6"/>
        <v>0</v>
      </c>
    </row>
    <row r="33" spans="1:23" x14ac:dyDescent="0.2">
      <c r="A33" s="8">
        <f t="shared" si="7"/>
        <v>44677</v>
      </c>
      <c r="B33" s="9"/>
      <c r="C33" s="9"/>
      <c r="D33" s="3" t="str">
        <f t="shared" si="0"/>
        <v/>
      </c>
      <c r="E33" s="4">
        <f t="shared" si="1"/>
        <v>0</v>
      </c>
      <c r="F33" s="5">
        <f t="shared" si="2"/>
        <v>0</v>
      </c>
      <c r="G33" s="146"/>
      <c r="H33" s="147"/>
      <c r="I33" s="148"/>
      <c r="J33" s="9"/>
      <c r="K33" s="9"/>
      <c r="L33" s="10"/>
      <c r="M33" s="7">
        <f t="shared" si="3"/>
        <v>0</v>
      </c>
      <c r="N33" s="44" t="str">
        <f t="shared" ca="1" si="4"/>
        <v/>
      </c>
      <c r="O33" s="45"/>
      <c r="P33" s="56"/>
      <c r="Q33" s="56"/>
      <c r="R33" s="56"/>
      <c r="S33" s="56"/>
      <c r="T33" s="56"/>
      <c r="U33" s="122">
        <f t="shared" si="8"/>
        <v>0</v>
      </c>
      <c r="V33" s="122">
        <f t="shared" si="5"/>
        <v>136</v>
      </c>
      <c r="W33" s="124">
        <f t="shared" si="6"/>
        <v>0</v>
      </c>
    </row>
    <row r="34" spans="1:23" x14ac:dyDescent="0.2">
      <c r="A34" s="8">
        <f t="shared" si="7"/>
        <v>44678</v>
      </c>
      <c r="B34" s="9"/>
      <c r="C34" s="9"/>
      <c r="D34" s="3" t="str">
        <f t="shared" si="0"/>
        <v/>
      </c>
      <c r="E34" s="4">
        <f t="shared" si="1"/>
        <v>0</v>
      </c>
      <c r="F34" s="5">
        <f t="shared" si="2"/>
        <v>0</v>
      </c>
      <c r="G34" s="146"/>
      <c r="H34" s="147"/>
      <c r="I34" s="148"/>
      <c r="J34" s="9"/>
      <c r="K34" s="9"/>
      <c r="L34" s="10"/>
      <c r="M34" s="7">
        <f t="shared" si="3"/>
        <v>0</v>
      </c>
      <c r="N34" s="44" t="str">
        <f t="shared" ca="1" si="4"/>
        <v/>
      </c>
      <c r="O34" s="45"/>
      <c r="P34" s="56"/>
      <c r="Q34" s="56"/>
      <c r="R34" s="56"/>
      <c r="S34" s="56"/>
      <c r="T34" s="56"/>
      <c r="U34" s="122">
        <f t="shared" si="8"/>
        <v>1</v>
      </c>
      <c r="V34" s="122">
        <f t="shared" si="5"/>
        <v>144</v>
      </c>
      <c r="W34" s="124">
        <f t="shared" si="6"/>
        <v>0</v>
      </c>
    </row>
    <row r="35" spans="1:23" x14ac:dyDescent="0.2">
      <c r="A35" s="8">
        <f t="shared" si="7"/>
        <v>44679</v>
      </c>
      <c r="B35" s="9"/>
      <c r="C35" s="9"/>
      <c r="D35" s="3" t="str">
        <f t="shared" si="0"/>
        <v/>
      </c>
      <c r="E35" s="4">
        <f t="shared" si="1"/>
        <v>0</v>
      </c>
      <c r="F35" s="5">
        <f t="shared" si="2"/>
        <v>0</v>
      </c>
      <c r="G35" s="146"/>
      <c r="H35" s="147"/>
      <c r="I35" s="148"/>
      <c r="J35" s="9"/>
      <c r="K35" s="9"/>
      <c r="L35" s="10"/>
      <c r="M35" s="7">
        <f t="shared" si="3"/>
        <v>0</v>
      </c>
      <c r="N35" s="44" t="str">
        <f t="shared" ca="1" si="4"/>
        <v/>
      </c>
      <c r="O35" s="45"/>
      <c r="P35" s="56"/>
      <c r="Q35" s="56"/>
      <c r="R35" s="56"/>
      <c r="S35" s="56"/>
      <c r="T35" s="56"/>
      <c r="U35" s="122">
        <f t="shared" si="8"/>
        <v>2</v>
      </c>
      <c r="V35" s="122">
        <f t="shared" si="5"/>
        <v>152</v>
      </c>
      <c r="W35" s="124">
        <f t="shared" si="6"/>
        <v>0</v>
      </c>
    </row>
    <row r="36" spans="1:23" x14ac:dyDescent="0.2">
      <c r="A36" s="8">
        <f t="shared" si="7"/>
        <v>44680</v>
      </c>
      <c r="B36" s="9"/>
      <c r="C36" s="9"/>
      <c r="D36" s="3" t="str">
        <f t="shared" si="0"/>
        <v/>
      </c>
      <c r="E36" s="4">
        <f t="shared" si="1"/>
        <v>0</v>
      </c>
      <c r="F36" s="5">
        <f t="shared" si="2"/>
        <v>0</v>
      </c>
      <c r="G36" s="146"/>
      <c r="H36" s="147"/>
      <c r="I36" s="148"/>
      <c r="J36" s="9"/>
      <c r="K36" s="9"/>
      <c r="L36" s="10"/>
      <c r="M36" s="7">
        <f t="shared" si="3"/>
        <v>0</v>
      </c>
      <c r="N36" s="44" t="str">
        <f t="shared" ca="1" si="4"/>
        <v/>
      </c>
      <c r="O36" s="45"/>
      <c r="P36" s="56"/>
      <c r="Q36" s="56"/>
      <c r="R36" s="56"/>
      <c r="S36" s="56"/>
      <c r="T36" s="56"/>
      <c r="U36" s="122">
        <f t="shared" si="8"/>
        <v>3</v>
      </c>
      <c r="V36" s="122">
        <f t="shared" si="5"/>
        <v>160</v>
      </c>
      <c r="W36" s="124">
        <f t="shared" si="6"/>
        <v>0</v>
      </c>
    </row>
    <row r="37" spans="1:23" x14ac:dyDescent="0.2">
      <c r="A37" s="8"/>
      <c r="B37" s="9"/>
      <c r="C37" s="9"/>
      <c r="D37" s="3"/>
      <c r="E37" s="4"/>
      <c r="F37" s="5"/>
      <c r="G37" s="146"/>
      <c r="H37" s="147"/>
      <c r="I37" s="148"/>
      <c r="J37" s="9"/>
      <c r="K37" s="9"/>
      <c r="L37" s="10"/>
      <c r="M37" s="7"/>
      <c r="N37" s="44"/>
      <c r="O37" s="45"/>
      <c r="P37" s="56"/>
      <c r="Q37" s="56"/>
      <c r="R37" s="56"/>
      <c r="S37" s="56"/>
      <c r="T37" s="56"/>
      <c r="W37" s="124"/>
    </row>
    <row r="38" spans="1:23" x14ac:dyDescent="0.2">
      <c r="A38" s="12"/>
      <c r="G38" s="54"/>
      <c r="H38" s="54"/>
      <c r="I38" s="54"/>
      <c r="J38" s="55"/>
      <c r="K38" s="55"/>
      <c r="L38" s="54"/>
      <c r="P38" s="57">
        <f>SUM(P7:P37)</f>
        <v>0</v>
      </c>
      <c r="Q38" s="57">
        <f>SUM(Q7:Q37)</f>
        <v>0</v>
      </c>
      <c r="R38" s="57">
        <f>SUM(R7:R37)</f>
        <v>0</v>
      </c>
      <c r="S38" s="57">
        <f>SUM(S7:S37)</f>
        <v>0</v>
      </c>
      <c r="T38" s="57">
        <f>SUM(T7:T37)</f>
        <v>0</v>
      </c>
    </row>
    <row r="40" spans="1:23" x14ac:dyDescent="0.2">
      <c r="A40" s="13" t="str">
        <f>Blankettinfo</f>
        <v>Version 4.6 © LiU 2025-12-03</v>
      </c>
    </row>
  </sheetData>
  <mergeCells count="35">
    <mergeCell ref="G36:I36"/>
    <mergeCell ref="G27:I27"/>
    <mergeCell ref="G23:I23"/>
    <mergeCell ref="G8:I8"/>
    <mergeCell ref="G17:I17"/>
    <mergeCell ref="G37:I37"/>
    <mergeCell ref="G18:I18"/>
    <mergeCell ref="G34:I34"/>
    <mergeCell ref="G30:I30"/>
    <mergeCell ref="G15:I15"/>
    <mergeCell ref="G33:I33"/>
    <mergeCell ref="G24:I24"/>
    <mergeCell ref="G35:I35"/>
    <mergeCell ref="G20:I20"/>
    <mergeCell ref="G26:I26"/>
    <mergeCell ref="G29:I29"/>
    <mergeCell ref="G25:I25"/>
    <mergeCell ref="G16:I16"/>
    <mergeCell ref="G32:I32"/>
    <mergeCell ref="G22:I22"/>
    <mergeCell ref="G31:I31"/>
    <mergeCell ref="G10:I10"/>
    <mergeCell ref="G28:I28"/>
    <mergeCell ref="G19:I19"/>
    <mergeCell ref="G13:I13"/>
    <mergeCell ref="B1:D1"/>
    <mergeCell ref="G14:I14"/>
    <mergeCell ref="G9:I9"/>
    <mergeCell ref="G12:I12"/>
    <mergeCell ref="G21:I21"/>
    <mergeCell ref="G11:I11"/>
    <mergeCell ref="B3:D3"/>
    <mergeCell ref="G7:I7"/>
    <mergeCell ref="B4:C4"/>
    <mergeCell ref="B2:D2"/>
  </mergeCells>
  <conditionalFormatting sqref="A7:M37">
    <cfRule type="expression" dxfId="26" priority="1" stopIfTrue="1">
      <formula>$U7&gt;4</formula>
    </cfRule>
  </conditionalFormatting>
  <conditionalFormatting sqref="N7:N37">
    <cfRule type="cellIs" dxfId="25" priority="2" stopIfTrue="1" operator="greaterThanOrEqual">
      <formula>0</formula>
    </cfRule>
    <cfRule type="cellIs" dxfId="24" priority="3" stopIfTrue="1" operator="lessThan">
      <formula>0</formula>
    </cfRule>
  </conditionalFormatting>
  <dataValidations count="3">
    <dataValidation type="list" allowBlank="1" showInputMessage="1" showErrorMessage="1" sqref="L7:L37" xr:uid="{00000000-0002-0000-0600-000000000000}">
      <formula1>"+,-"</formula1>
    </dataValidation>
    <dataValidation type="time" allowBlank="1" showInputMessage="1" showErrorMessage="1" errorTitle="Fel tidsformat" error="Ange tid som timmar och minuter med kolon som skiljetecken - till exempel 9:30 för klockan halv tio på förmiddagen." sqref="B7:C37 J7:K37" xr:uid="{00000000-0002-0000-0600-000001000000}">
      <formula1>0</formula1>
      <formula2>0.999988425925926</formula2>
    </dataValidation>
    <dataValidation type="time" allowBlank="1" showInputMessage="1" showErrorMessage="1" errorTitle="Fel tidsformat" error="Lunchen måste vara minst 30 minuter - tiden anges med timmar och minuter, till exempel 0:45 för trekvarts timmes lunch." promptTitle="Lunchrast" prompt="Lunchen anges som 30 minuter när &quot;Slutar&quot;-tiden fyllts i. Ändra manuellt om lunchen är längre än 30 minuter." sqref="D7:D37" xr:uid="{00000000-0002-0000-0600-000002000000}">
      <formula1>0.0208217592592593</formula1>
      <formula2>0.333333333333333</formula2>
    </dataValidation>
  </dataValidations>
  <pageMargins left="0.74803149606299213" right="0.74803149606299213" top="0.98425196850393704" bottom="0.98425196850393704" header="0.51181102362204722" footer="0.51181102362204722"/>
  <pageSetup paperSize="9" scale="64" orientation="landscape"/>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Blad7">
    <pageSetUpPr fitToPage="1"/>
  </sheetPr>
  <dimension ref="A1:Y40"/>
  <sheetViews>
    <sheetView workbookViewId="0"/>
  </sheetViews>
  <sheetFormatPr baseColWidth="10" defaultColWidth="9.140625" defaultRowHeight="15" x14ac:dyDescent="0.2"/>
  <cols>
    <col min="1" max="1" width="8.7109375" style="13" customWidth="1"/>
    <col min="2" max="5" width="10.7109375" style="13" customWidth="1"/>
    <col min="6" max="9" width="10.7109375" style="1" customWidth="1"/>
    <col min="10" max="11" width="8.7109375" style="11" customWidth="1"/>
    <col min="12" max="13" width="8.7109375" style="1" customWidth="1"/>
    <col min="14" max="14" width="7.7109375" style="14" customWidth="1"/>
    <col min="15" max="15" width="33.7109375" style="1" customWidth="1"/>
    <col min="16" max="20" width="10.7109375" style="1" customWidth="1"/>
    <col min="21" max="23" width="9.140625" style="122" hidden="1" customWidth="1"/>
    <col min="24" max="25" width="9.140625" style="120" customWidth="1"/>
    <col min="26" max="26" width="9.140625" style="1" customWidth="1"/>
    <col min="27" max="16384" width="9.140625" style="1"/>
  </cols>
  <sheetData>
    <row r="1" spans="1:24" x14ac:dyDescent="0.2">
      <c r="A1" s="66" t="s">
        <v>0</v>
      </c>
      <c r="B1" s="151" t="str">
        <f>Namn</f>
        <v>Håkan Stensby</v>
      </c>
      <c r="C1" s="152"/>
      <c r="D1" s="152"/>
      <c r="E1" s="47" t="s">
        <v>1</v>
      </c>
      <c r="F1" s="115">
        <f>SUM(F7:F37)</f>
        <v>0</v>
      </c>
      <c r="G1" s="51"/>
      <c r="H1" s="47" t="s">
        <v>2</v>
      </c>
      <c r="I1" s="76">
        <f>VLOOKUP(B3,översikt!A61:C72,3,FALSE)*B4</f>
        <v>144</v>
      </c>
      <c r="J1" s="77"/>
      <c r="K1" s="78"/>
      <c r="L1" s="79"/>
      <c r="M1" s="80"/>
      <c r="N1" s="80"/>
      <c r="O1" s="81"/>
      <c r="P1" s="85"/>
      <c r="Q1" s="85"/>
      <c r="R1" s="85"/>
      <c r="S1" s="85"/>
      <c r="T1" s="85"/>
    </row>
    <row r="2" spans="1:24" x14ac:dyDescent="0.2">
      <c r="A2" s="67" t="s">
        <v>3</v>
      </c>
      <c r="B2" s="161" t="str">
        <f>Pnr</f>
        <v>19770217-6418</v>
      </c>
      <c r="C2" s="154"/>
      <c r="D2" s="154"/>
      <c r="E2" s="53" t="s">
        <v>4</v>
      </c>
      <c r="F2" s="116">
        <f>VALUE(SUM(M7:M37)*24)</f>
        <v>0</v>
      </c>
      <c r="G2" s="48"/>
      <c r="H2" s="53" t="s">
        <v>5</v>
      </c>
      <c r="I2" s="82">
        <f>IF(F3=0,0,F3-I1)</f>
        <v>0</v>
      </c>
      <c r="J2" s="83"/>
      <c r="K2" s="84"/>
      <c r="L2" s="85"/>
      <c r="M2" s="86"/>
      <c r="N2" s="87"/>
      <c r="O2" s="88"/>
      <c r="P2" s="85"/>
      <c r="Q2" s="85"/>
      <c r="R2" s="85"/>
      <c r="S2" s="85"/>
      <c r="T2" s="85"/>
    </row>
    <row r="3" spans="1:24" x14ac:dyDescent="0.2">
      <c r="A3" s="67" t="s">
        <v>6</v>
      </c>
      <c r="B3" s="155">
        <f>översikt!A65</f>
        <v>44681</v>
      </c>
      <c r="C3" s="154"/>
      <c r="D3" s="154"/>
      <c r="E3" s="53" t="s">
        <v>7</v>
      </c>
      <c r="F3" s="116">
        <f>F1+F2</f>
        <v>0</v>
      </c>
      <c r="G3" s="49"/>
      <c r="H3" s="53" t="s">
        <v>8</v>
      </c>
      <c r="I3" s="82" t="str">
        <f ca="1">april!I4</f>
        <v>-</v>
      </c>
      <c r="J3" s="84"/>
      <c r="K3" s="85"/>
      <c r="L3" s="85"/>
      <c r="M3" s="89"/>
      <c r="N3" s="87"/>
      <c r="O3" s="88"/>
      <c r="P3" s="85"/>
      <c r="Q3" s="85"/>
      <c r="R3" s="85"/>
      <c r="S3" s="85"/>
      <c r="T3" s="85"/>
      <c r="W3" s="123"/>
    </row>
    <row r="4" spans="1:24" x14ac:dyDescent="0.2">
      <c r="A4" s="67" t="s">
        <v>9</v>
      </c>
      <c r="B4" s="159">
        <f>Tjgrad</f>
        <v>1</v>
      </c>
      <c r="C4" s="160"/>
      <c r="D4" s="52"/>
      <c r="E4" s="53" t="s">
        <v>10</v>
      </c>
      <c r="F4" s="50"/>
      <c r="G4" s="49"/>
      <c r="H4" s="53" t="s">
        <v>11</v>
      </c>
      <c r="I4" s="131" t="str">
        <f ca="1">IF(N7="", "-", OFFSET(N6, COUNT(N:N), 0, 1, 1) + I3)</f>
        <v>-</v>
      </c>
      <c r="J4" s="84"/>
      <c r="K4" s="85"/>
      <c r="L4" s="85"/>
      <c r="M4" s="89"/>
      <c r="N4" s="87"/>
      <c r="O4" s="88"/>
      <c r="P4" s="90" t="s">
        <v>12</v>
      </c>
      <c r="Q4" s="85"/>
      <c r="R4" s="85"/>
      <c r="S4" s="85"/>
      <c r="T4" s="85"/>
    </row>
    <row r="5" spans="1:24" x14ac:dyDescent="0.2">
      <c r="A5" s="68"/>
      <c r="B5" s="70" t="s">
        <v>13</v>
      </c>
      <c r="C5" s="70"/>
      <c r="D5" s="70"/>
      <c r="E5" s="70"/>
      <c r="F5" s="70"/>
      <c r="G5" s="70"/>
      <c r="H5" s="70"/>
      <c r="I5" s="70"/>
      <c r="J5" s="70" t="s">
        <v>14</v>
      </c>
      <c r="K5" s="70"/>
      <c r="L5" s="70"/>
      <c r="M5" s="70"/>
      <c r="N5" s="71" t="s">
        <v>15</v>
      </c>
      <c r="O5" s="72"/>
      <c r="P5" s="91" t="s">
        <v>16</v>
      </c>
      <c r="Q5" s="70"/>
      <c r="R5" s="70"/>
      <c r="S5" s="70"/>
      <c r="T5" s="70"/>
      <c r="U5" s="122" t="s">
        <v>17</v>
      </c>
      <c r="V5" s="122" t="s">
        <v>18</v>
      </c>
      <c r="W5" s="122" t="s">
        <v>19</v>
      </c>
    </row>
    <row r="6" spans="1:24" x14ac:dyDescent="0.2">
      <c r="A6" s="69" t="s">
        <v>17</v>
      </c>
      <c r="B6" s="73" t="s">
        <v>20</v>
      </c>
      <c r="C6" s="73" t="s">
        <v>21</v>
      </c>
      <c r="D6" s="73" t="s">
        <v>22</v>
      </c>
      <c r="E6" s="73" t="s">
        <v>23</v>
      </c>
      <c r="F6" s="73" t="s">
        <v>24</v>
      </c>
      <c r="G6" s="73" t="s">
        <v>25</v>
      </c>
      <c r="H6" s="73"/>
      <c r="I6" s="73"/>
      <c r="J6" s="73" t="s">
        <v>26</v>
      </c>
      <c r="K6" s="73" t="s">
        <v>27</v>
      </c>
      <c r="L6" s="73" t="s">
        <v>28</v>
      </c>
      <c r="M6" s="73" t="s">
        <v>29</v>
      </c>
      <c r="N6" s="74" t="s">
        <v>30</v>
      </c>
      <c r="O6" s="75" t="s">
        <v>31</v>
      </c>
      <c r="P6" s="113"/>
      <c r="Q6" s="113"/>
      <c r="R6" s="113"/>
      <c r="S6" s="113"/>
      <c r="T6" s="113"/>
    </row>
    <row r="7" spans="1:24" x14ac:dyDescent="0.2">
      <c r="A7" s="2">
        <f>B3</f>
        <v>44681</v>
      </c>
      <c r="B7" s="3"/>
      <c r="C7" s="3"/>
      <c r="D7" s="3" t="str">
        <f t="shared" ref="D7:D37" si="0">IF(C7="","",0.5/24)</f>
        <v/>
      </c>
      <c r="E7" s="4">
        <f t="shared" ref="E7:E37" si="1">IF(C7="",0,C7-B7-D7)</f>
        <v>0</v>
      </c>
      <c r="F7" s="5">
        <f t="shared" ref="F7:F37" si="2">IF(E7="","",VALUE(E7)*24)</f>
        <v>0</v>
      </c>
      <c r="G7" s="156" t="s">
        <v>89</v>
      </c>
      <c r="H7" s="157"/>
      <c r="I7" s="158"/>
      <c r="J7" s="3"/>
      <c r="K7" s="3"/>
      <c r="L7" s="6"/>
      <c r="M7" s="7">
        <f t="shared" ref="M7:M37" si="3">IF(OR(G7="Semester",G7="Sjuk",G7="Vård av barn"),8/24*$B$4,IF(L7="+",K7-J7,IF(L7="-",(K7-J7)*-1,0)))</f>
        <v>0</v>
      </c>
      <c r="N7" s="42" t="str">
        <f t="shared" ref="N7:N37" ca="1" si="4">IF(Dagen&gt;A7,W7-V7,"")</f>
        <v/>
      </c>
      <c r="O7" s="43"/>
      <c r="P7" s="56"/>
      <c r="Q7" s="56"/>
      <c r="R7" s="56"/>
      <c r="S7" s="56"/>
      <c r="T7" s="56"/>
      <c r="U7" s="125">
        <v>8</v>
      </c>
      <c r="V7" s="122">
        <f t="shared" ref="V7:V37" si="5">IF(U7&gt;4,V6,V6+$B$4*8)</f>
        <v>0</v>
      </c>
      <c r="W7" s="124">
        <f t="shared" ref="W7:W37" si="6">VALUE(E7)*24+VALUE(M7)*24+W6</f>
        <v>0</v>
      </c>
    </row>
    <row r="8" spans="1:24" x14ac:dyDescent="0.2">
      <c r="A8" s="8">
        <f t="shared" ref="A8:A37" si="7">A7+1</f>
        <v>44682</v>
      </c>
      <c r="B8" s="9"/>
      <c r="C8" s="9"/>
      <c r="D8" s="3" t="str">
        <f t="shared" si="0"/>
        <v/>
      </c>
      <c r="E8" s="4">
        <f t="shared" si="1"/>
        <v>0</v>
      </c>
      <c r="F8" s="5">
        <f t="shared" si="2"/>
        <v>0</v>
      </c>
      <c r="G8" s="146"/>
      <c r="H8" s="147"/>
      <c r="I8" s="148"/>
      <c r="J8" s="9"/>
      <c r="K8" s="9"/>
      <c r="L8" s="10"/>
      <c r="M8" s="7">
        <f t="shared" si="3"/>
        <v>0</v>
      </c>
      <c r="N8" s="44" t="str">
        <f t="shared" ca="1" si="4"/>
        <v/>
      </c>
      <c r="O8" s="45"/>
      <c r="P8" s="56"/>
      <c r="Q8" s="56"/>
      <c r="R8" s="56"/>
      <c r="S8" s="56"/>
      <c r="T8" s="56"/>
      <c r="U8" s="122">
        <f t="shared" ref="U8:U19" si="8">IF(A8="",0,WEEKDAY(A8,3))</f>
        <v>5</v>
      </c>
      <c r="V8" s="122">
        <f t="shared" si="5"/>
        <v>0</v>
      </c>
      <c r="W8" s="124">
        <f t="shared" si="6"/>
        <v>0</v>
      </c>
      <c r="X8" s="121"/>
    </row>
    <row r="9" spans="1:24" x14ac:dyDescent="0.2">
      <c r="A9" s="8">
        <f t="shared" si="7"/>
        <v>44683</v>
      </c>
      <c r="B9" s="9"/>
      <c r="C9" s="9"/>
      <c r="D9" s="3" t="str">
        <f t="shared" si="0"/>
        <v/>
      </c>
      <c r="E9" s="4">
        <f t="shared" si="1"/>
        <v>0</v>
      </c>
      <c r="F9" s="5">
        <f t="shared" si="2"/>
        <v>0</v>
      </c>
      <c r="G9" s="146"/>
      <c r="H9" s="147"/>
      <c r="I9" s="148"/>
      <c r="J9" s="9"/>
      <c r="K9" s="9"/>
      <c r="L9" s="10"/>
      <c r="M9" s="7">
        <f t="shared" si="3"/>
        <v>0</v>
      </c>
      <c r="N9" s="44" t="str">
        <f t="shared" ca="1" si="4"/>
        <v/>
      </c>
      <c r="O9" s="45"/>
      <c r="P9" s="56"/>
      <c r="Q9" s="56"/>
      <c r="R9" s="56"/>
      <c r="S9" s="56"/>
      <c r="T9" s="56"/>
      <c r="U9" s="122">
        <f t="shared" si="8"/>
        <v>6</v>
      </c>
      <c r="V9" s="122">
        <f t="shared" si="5"/>
        <v>0</v>
      </c>
      <c r="W9" s="124">
        <f t="shared" si="6"/>
        <v>0</v>
      </c>
      <c r="X9" s="121"/>
    </row>
    <row r="10" spans="1:24" x14ac:dyDescent="0.2">
      <c r="A10" s="8">
        <f t="shared" si="7"/>
        <v>44684</v>
      </c>
      <c r="B10" s="9"/>
      <c r="C10" s="9"/>
      <c r="D10" s="3" t="str">
        <f t="shared" si="0"/>
        <v/>
      </c>
      <c r="E10" s="4">
        <f t="shared" si="1"/>
        <v>0</v>
      </c>
      <c r="F10" s="5">
        <f t="shared" si="2"/>
        <v>0</v>
      </c>
      <c r="G10" s="167"/>
      <c r="H10" s="168"/>
      <c r="I10" s="169"/>
      <c r="J10" s="34"/>
      <c r="K10" s="34"/>
      <c r="L10" s="35"/>
      <c r="M10" s="7">
        <f t="shared" si="3"/>
        <v>0</v>
      </c>
      <c r="N10" s="44" t="str">
        <f t="shared" ca="1" si="4"/>
        <v/>
      </c>
      <c r="O10" s="45"/>
      <c r="P10" s="56"/>
      <c r="Q10" s="56"/>
      <c r="R10" s="56"/>
      <c r="S10" s="56"/>
      <c r="T10" s="56"/>
      <c r="U10" s="122">
        <f t="shared" si="8"/>
        <v>0</v>
      </c>
      <c r="V10" s="122">
        <f t="shared" si="5"/>
        <v>8</v>
      </c>
      <c r="W10" s="124">
        <f t="shared" si="6"/>
        <v>0</v>
      </c>
      <c r="X10" s="121"/>
    </row>
    <row r="11" spans="1:24" x14ac:dyDescent="0.2">
      <c r="A11" s="8">
        <f t="shared" si="7"/>
        <v>44685</v>
      </c>
      <c r="B11" s="9"/>
      <c r="C11" s="9"/>
      <c r="D11" s="3" t="str">
        <f t="shared" si="0"/>
        <v/>
      </c>
      <c r="E11" s="4">
        <f t="shared" si="1"/>
        <v>0</v>
      </c>
      <c r="F11" s="5">
        <f t="shared" si="2"/>
        <v>0</v>
      </c>
      <c r="G11" s="146"/>
      <c r="H11" s="147"/>
      <c r="I11" s="148"/>
      <c r="J11" s="9"/>
      <c r="K11" s="9"/>
      <c r="L11" s="10"/>
      <c r="M11" s="7">
        <f t="shared" si="3"/>
        <v>0</v>
      </c>
      <c r="N11" s="44" t="str">
        <f t="shared" ca="1" si="4"/>
        <v/>
      </c>
      <c r="O11" s="45"/>
      <c r="P11" s="56"/>
      <c r="Q11" s="56"/>
      <c r="R11" s="56"/>
      <c r="S11" s="56"/>
      <c r="T11" s="56"/>
      <c r="U11" s="122">
        <f t="shared" si="8"/>
        <v>1</v>
      </c>
      <c r="V11" s="125">
        <f t="shared" si="5"/>
        <v>16</v>
      </c>
      <c r="W11" s="124">
        <f t="shared" si="6"/>
        <v>0</v>
      </c>
      <c r="X11" s="121"/>
    </row>
    <row r="12" spans="1:24" x14ac:dyDescent="0.2">
      <c r="A12" s="8">
        <f t="shared" si="7"/>
        <v>44686</v>
      </c>
      <c r="B12" s="9"/>
      <c r="C12" s="9"/>
      <c r="D12" s="3" t="str">
        <f t="shared" si="0"/>
        <v/>
      </c>
      <c r="E12" s="4">
        <f t="shared" si="1"/>
        <v>0</v>
      </c>
      <c r="F12" s="5">
        <f t="shared" si="2"/>
        <v>0</v>
      </c>
      <c r="G12" s="156"/>
      <c r="H12" s="157"/>
      <c r="I12" s="158"/>
      <c r="J12" s="3"/>
      <c r="K12" s="3"/>
      <c r="L12" s="6"/>
      <c r="M12" s="7">
        <f t="shared" si="3"/>
        <v>0</v>
      </c>
      <c r="N12" s="44" t="str">
        <f t="shared" ca="1" si="4"/>
        <v/>
      </c>
      <c r="O12" s="45"/>
      <c r="P12" s="56"/>
      <c r="Q12" s="56"/>
      <c r="R12" s="56"/>
      <c r="S12" s="56"/>
      <c r="T12" s="56"/>
      <c r="U12" s="125">
        <f t="shared" si="8"/>
        <v>2</v>
      </c>
      <c r="V12" s="122">
        <f t="shared" si="5"/>
        <v>24</v>
      </c>
      <c r="W12" s="124">
        <f t="shared" si="6"/>
        <v>0</v>
      </c>
      <c r="X12" s="121"/>
    </row>
    <row r="13" spans="1:24" x14ac:dyDescent="0.2">
      <c r="A13" s="8">
        <f t="shared" si="7"/>
        <v>44687</v>
      </c>
      <c r="B13" s="9"/>
      <c r="C13" s="9"/>
      <c r="D13" s="3" t="str">
        <f t="shared" si="0"/>
        <v/>
      </c>
      <c r="E13" s="4">
        <f t="shared" si="1"/>
        <v>0</v>
      </c>
      <c r="F13" s="5">
        <f t="shared" si="2"/>
        <v>0</v>
      </c>
      <c r="G13" s="146"/>
      <c r="H13" s="147"/>
      <c r="I13" s="148"/>
      <c r="J13" s="9"/>
      <c r="K13" s="9"/>
      <c r="L13" s="10"/>
      <c r="M13" s="7">
        <f t="shared" si="3"/>
        <v>0</v>
      </c>
      <c r="N13" s="44" t="str">
        <f t="shared" ca="1" si="4"/>
        <v/>
      </c>
      <c r="O13" s="45"/>
      <c r="P13" s="56"/>
      <c r="Q13" s="56"/>
      <c r="R13" s="56"/>
      <c r="S13" s="56"/>
      <c r="T13" s="56"/>
      <c r="U13" s="122">
        <f t="shared" si="8"/>
        <v>3</v>
      </c>
      <c r="V13" s="122">
        <f t="shared" si="5"/>
        <v>32</v>
      </c>
      <c r="W13" s="124">
        <f t="shared" si="6"/>
        <v>0</v>
      </c>
      <c r="X13" s="121"/>
    </row>
    <row r="14" spans="1:24" x14ac:dyDescent="0.2">
      <c r="A14" s="8">
        <f t="shared" si="7"/>
        <v>44688</v>
      </c>
      <c r="B14" s="9"/>
      <c r="C14" s="9"/>
      <c r="D14" s="3" t="str">
        <f t="shared" si="0"/>
        <v/>
      </c>
      <c r="E14" s="4">
        <f t="shared" si="1"/>
        <v>0</v>
      </c>
      <c r="F14" s="5">
        <f t="shared" si="2"/>
        <v>0</v>
      </c>
      <c r="G14" s="146"/>
      <c r="H14" s="147"/>
      <c r="I14" s="148"/>
      <c r="J14" s="9"/>
      <c r="K14" s="9"/>
      <c r="L14" s="10"/>
      <c r="M14" s="7">
        <f t="shared" si="3"/>
        <v>0</v>
      </c>
      <c r="N14" s="44" t="str">
        <f t="shared" ca="1" si="4"/>
        <v/>
      </c>
      <c r="O14" s="45"/>
      <c r="P14" s="56"/>
      <c r="Q14" s="56"/>
      <c r="R14" s="56"/>
      <c r="S14" s="56"/>
      <c r="T14" s="56"/>
      <c r="U14" s="122">
        <f t="shared" si="8"/>
        <v>4</v>
      </c>
      <c r="V14" s="122">
        <f t="shared" si="5"/>
        <v>40</v>
      </c>
      <c r="W14" s="124">
        <f t="shared" si="6"/>
        <v>0</v>
      </c>
      <c r="X14" s="121"/>
    </row>
    <row r="15" spans="1:24" x14ac:dyDescent="0.2">
      <c r="A15" s="8">
        <f t="shared" si="7"/>
        <v>44689</v>
      </c>
      <c r="B15" s="9"/>
      <c r="C15" s="9"/>
      <c r="D15" s="3" t="str">
        <f t="shared" si="0"/>
        <v/>
      </c>
      <c r="E15" s="4">
        <f t="shared" si="1"/>
        <v>0</v>
      </c>
      <c r="F15" s="5">
        <f t="shared" si="2"/>
        <v>0</v>
      </c>
      <c r="G15" s="146"/>
      <c r="H15" s="147"/>
      <c r="I15" s="148"/>
      <c r="J15" s="9"/>
      <c r="K15" s="9"/>
      <c r="L15" s="10"/>
      <c r="M15" s="7">
        <f t="shared" si="3"/>
        <v>0</v>
      </c>
      <c r="N15" s="44" t="str">
        <f t="shared" ca="1" si="4"/>
        <v/>
      </c>
      <c r="O15" s="45"/>
      <c r="P15" s="56"/>
      <c r="Q15" s="56"/>
      <c r="R15" s="56"/>
      <c r="S15" s="56"/>
      <c r="T15" s="56"/>
      <c r="U15" s="122">
        <f t="shared" si="8"/>
        <v>5</v>
      </c>
      <c r="V15" s="122">
        <f t="shared" si="5"/>
        <v>40</v>
      </c>
      <c r="W15" s="124">
        <f t="shared" si="6"/>
        <v>0</v>
      </c>
    </row>
    <row r="16" spans="1:24" x14ac:dyDescent="0.2">
      <c r="A16" s="8">
        <f t="shared" si="7"/>
        <v>44690</v>
      </c>
      <c r="B16" s="9"/>
      <c r="C16" s="9"/>
      <c r="D16" s="3" t="str">
        <f t="shared" si="0"/>
        <v/>
      </c>
      <c r="E16" s="4">
        <f t="shared" si="1"/>
        <v>0</v>
      </c>
      <c r="F16" s="5">
        <f t="shared" si="2"/>
        <v>0</v>
      </c>
      <c r="G16" s="146"/>
      <c r="H16" s="147"/>
      <c r="I16" s="148"/>
      <c r="J16" s="9"/>
      <c r="K16" s="9"/>
      <c r="L16" s="10"/>
      <c r="M16" s="7">
        <f t="shared" si="3"/>
        <v>0</v>
      </c>
      <c r="N16" s="44" t="str">
        <f t="shared" ca="1" si="4"/>
        <v/>
      </c>
      <c r="O16" s="45"/>
      <c r="P16" s="56"/>
      <c r="Q16" s="56"/>
      <c r="R16" s="56"/>
      <c r="S16" s="56"/>
      <c r="T16" s="56"/>
      <c r="U16" s="122">
        <f t="shared" si="8"/>
        <v>6</v>
      </c>
      <c r="V16" s="122">
        <f t="shared" si="5"/>
        <v>40</v>
      </c>
      <c r="W16" s="124">
        <f t="shared" si="6"/>
        <v>0</v>
      </c>
    </row>
    <row r="17" spans="1:23" x14ac:dyDescent="0.2">
      <c r="A17" s="8">
        <f t="shared" si="7"/>
        <v>44691</v>
      </c>
      <c r="B17" s="9"/>
      <c r="C17" s="9"/>
      <c r="D17" s="3" t="str">
        <f t="shared" si="0"/>
        <v/>
      </c>
      <c r="E17" s="4">
        <f t="shared" si="1"/>
        <v>0</v>
      </c>
      <c r="F17" s="5">
        <f t="shared" si="2"/>
        <v>0</v>
      </c>
      <c r="G17" s="146"/>
      <c r="H17" s="147"/>
      <c r="I17" s="148"/>
      <c r="J17" s="9"/>
      <c r="K17" s="9"/>
      <c r="L17" s="10"/>
      <c r="M17" s="7">
        <f t="shared" si="3"/>
        <v>0</v>
      </c>
      <c r="N17" s="44" t="str">
        <f t="shared" ca="1" si="4"/>
        <v/>
      </c>
      <c r="O17" s="45"/>
      <c r="P17" s="56"/>
      <c r="Q17" s="56"/>
      <c r="R17" s="56"/>
      <c r="S17" s="56"/>
      <c r="T17" s="56"/>
      <c r="U17" s="122">
        <f t="shared" si="8"/>
        <v>0</v>
      </c>
      <c r="V17" s="122">
        <f t="shared" si="5"/>
        <v>48</v>
      </c>
      <c r="W17" s="124">
        <f t="shared" si="6"/>
        <v>0</v>
      </c>
    </row>
    <row r="18" spans="1:23" x14ac:dyDescent="0.2">
      <c r="A18" s="8">
        <f t="shared" si="7"/>
        <v>44692</v>
      </c>
      <c r="B18" s="9"/>
      <c r="C18" s="9"/>
      <c r="D18" s="3" t="str">
        <f t="shared" si="0"/>
        <v/>
      </c>
      <c r="E18" s="4">
        <f t="shared" si="1"/>
        <v>0</v>
      </c>
      <c r="F18" s="5">
        <f t="shared" si="2"/>
        <v>0</v>
      </c>
      <c r="G18" s="146"/>
      <c r="H18" s="147"/>
      <c r="I18" s="148"/>
      <c r="J18" s="9"/>
      <c r="K18" s="9"/>
      <c r="L18" s="10"/>
      <c r="M18" s="7">
        <f t="shared" si="3"/>
        <v>0</v>
      </c>
      <c r="N18" s="44" t="str">
        <f t="shared" ca="1" si="4"/>
        <v/>
      </c>
      <c r="O18" s="45"/>
      <c r="P18" s="56"/>
      <c r="Q18" s="56"/>
      <c r="R18" s="56"/>
      <c r="S18" s="56"/>
      <c r="T18" s="56"/>
      <c r="U18" s="122">
        <f t="shared" si="8"/>
        <v>1</v>
      </c>
      <c r="V18" s="122">
        <f t="shared" si="5"/>
        <v>56</v>
      </c>
      <c r="W18" s="124">
        <f t="shared" si="6"/>
        <v>0</v>
      </c>
    </row>
    <row r="19" spans="1:23" x14ac:dyDescent="0.2">
      <c r="A19" s="8">
        <f t="shared" si="7"/>
        <v>44693</v>
      </c>
      <c r="B19" s="9"/>
      <c r="C19" s="9"/>
      <c r="D19" s="3" t="str">
        <f t="shared" si="0"/>
        <v/>
      </c>
      <c r="E19" s="4">
        <f t="shared" si="1"/>
        <v>0</v>
      </c>
      <c r="F19" s="5">
        <f t="shared" si="2"/>
        <v>0</v>
      </c>
      <c r="G19" s="146"/>
      <c r="H19" s="147"/>
      <c r="I19" s="148"/>
      <c r="J19" s="9"/>
      <c r="K19" s="9"/>
      <c r="L19" s="10"/>
      <c r="M19" s="7">
        <f t="shared" si="3"/>
        <v>0</v>
      </c>
      <c r="N19" s="44" t="str">
        <f t="shared" ca="1" si="4"/>
        <v/>
      </c>
      <c r="O19" s="45"/>
      <c r="P19" s="56"/>
      <c r="Q19" s="56"/>
      <c r="R19" s="56"/>
      <c r="S19" s="56"/>
      <c r="T19" s="56"/>
      <c r="U19" s="122">
        <f t="shared" si="8"/>
        <v>2</v>
      </c>
      <c r="V19" s="122">
        <f t="shared" si="5"/>
        <v>64</v>
      </c>
      <c r="W19" s="124">
        <f t="shared" si="6"/>
        <v>0</v>
      </c>
    </row>
    <row r="20" spans="1:23" x14ac:dyDescent="0.2">
      <c r="A20" s="8">
        <f t="shared" si="7"/>
        <v>44694</v>
      </c>
      <c r="B20" s="9"/>
      <c r="C20" s="144"/>
      <c r="D20" s="3" t="str">
        <f t="shared" si="0"/>
        <v/>
      </c>
      <c r="E20" s="4">
        <f t="shared" si="1"/>
        <v>0</v>
      </c>
      <c r="F20" s="5">
        <f t="shared" si="2"/>
        <v>0</v>
      </c>
      <c r="G20" s="146" t="s">
        <v>90</v>
      </c>
      <c r="H20" s="147"/>
      <c r="I20" s="148"/>
      <c r="J20" s="9"/>
      <c r="K20" s="9"/>
      <c r="L20" s="10"/>
      <c r="M20" s="7">
        <f t="shared" si="3"/>
        <v>0</v>
      </c>
      <c r="N20" s="44" t="str">
        <f t="shared" ca="1" si="4"/>
        <v/>
      </c>
      <c r="O20" s="45"/>
      <c r="P20" s="56"/>
      <c r="Q20" s="56"/>
      <c r="R20" s="56"/>
      <c r="S20" s="56"/>
      <c r="T20" s="56"/>
      <c r="U20" s="122">
        <v>8</v>
      </c>
      <c r="V20" s="122">
        <f t="shared" si="5"/>
        <v>64</v>
      </c>
      <c r="W20" s="124">
        <f t="shared" si="6"/>
        <v>0</v>
      </c>
    </row>
    <row r="21" spans="1:23" x14ac:dyDescent="0.2">
      <c r="A21" s="8">
        <f t="shared" si="7"/>
        <v>44695</v>
      </c>
      <c r="B21" s="9"/>
      <c r="C21" s="9"/>
      <c r="D21" s="3" t="str">
        <f t="shared" si="0"/>
        <v/>
      </c>
      <c r="E21" s="4">
        <f t="shared" si="1"/>
        <v>0</v>
      </c>
      <c r="F21" s="5">
        <f t="shared" si="2"/>
        <v>0</v>
      </c>
      <c r="G21" s="146" t="s">
        <v>84</v>
      </c>
      <c r="H21" s="147"/>
      <c r="I21" s="148"/>
      <c r="J21" s="9"/>
      <c r="K21" s="9"/>
      <c r="L21" s="10"/>
      <c r="M21" s="7">
        <f t="shared" si="3"/>
        <v>0</v>
      </c>
      <c r="N21" s="44" t="str">
        <f t="shared" ca="1" si="4"/>
        <v/>
      </c>
      <c r="O21" s="45"/>
      <c r="P21" s="56"/>
      <c r="Q21" s="56"/>
      <c r="R21" s="56"/>
      <c r="S21" s="56"/>
      <c r="T21" s="56"/>
      <c r="U21" s="122">
        <v>8</v>
      </c>
      <c r="V21" s="122">
        <f t="shared" si="5"/>
        <v>64</v>
      </c>
      <c r="W21" s="124">
        <f t="shared" si="6"/>
        <v>0</v>
      </c>
    </row>
    <row r="22" spans="1:23" x14ac:dyDescent="0.2">
      <c r="A22" s="8">
        <f t="shared" si="7"/>
        <v>44696</v>
      </c>
      <c r="B22" s="9"/>
      <c r="C22" s="144"/>
      <c r="D22" s="3" t="str">
        <f t="shared" si="0"/>
        <v/>
      </c>
      <c r="E22" s="4">
        <f t="shared" si="1"/>
        <v>0</v>
      </c>
      <c r="F22" s="5">
        <f t="shared" si="2"/>
        <v>0</v>
      </c>
      <c r="G22" s="146"/>
      <c r="H22" s="147"/>
      <c r="I22" s="148"/>
      <c r="J22" s="9"/>
      <c r="K22" s="9"/>
      <c r="L22" s="10"/>
      <c r="M22" s="7">
        <f t="shared" si="3"/>
        <v>0</v>
      </c>
      <c r="N22" s="44" t="str">
        <f t="shared" ca="1" si="4"/>
        <v/>
      </c>
      <c r="O22" s="45"/>
      <c r="P22" s="56"/>
      <c r="Q22" s="56"/>
      <c r="R22" s="56"/>
      <c r="S22" s="56"/>
      <c r="T22" s="56"/>
      <c r="U22" s="122">
        <f t="shared" ref="U22:U37" si="9">IF(A22="",0,WEEKDAY(A22,3))</f>
        <v>5</v>
      </c>
      <c r="V22" s="122">
        <f t="shared" si="5"/>
        <v>64</v>
      </c>
      <c r="W22" s="124">
        <f t="shared" si="6"/>
        <v>0</v>
      </c>
    </row>
    <row r="23" spans="1:23" x14ac:dyDescent="0.2">
      <c r="A23" s="8">
        <f t="shared" si="7"/>
        <v>44697</v>
      </c>
      <c r="B23" s="9"/>
      <c r="C23" s="9"/>
      <c r="D23" s="3" t="str">
        <f t="shared" si="0"/>
        <v/>
      </c>
      <c r="E23" s="4">
        <f t="shared" si="1"/>
        <v>0</v>
      </c>
      <c r="F23" s="5">
        <f t="shared" si="2"/>
        <v>0</v>
      </c>
      <c r="G23" s="146"/>
      <c r="H23" s="147"/>
      <c r="I23" s="148"/>
      <c r="J23" s="9"/>
      <c r="K23" s="9"/>
      <c r="L23" s="10"/>
      <c r="M23" s="7">
        <f t="shared" si="3"/>
        <v>0</v>
      </c>
      <c r="N23" s="44" t="str">
        <f t="shared" ca="1" si="4"/>
        <v/>
      </c>
      <c r="O23" s="45"/>
      <c r="P23" s="56"/>
      <c r="Q23" s="56"/>
      <c r="R23" s="56"/>
      <c r="S23" s="56"/>
      <c r="T23" s="56"/>
      <c r="U23" s="122">
        <f t="shared" si="9"/>
        <v>6</v>
      </c>
      <c r="V23" s="122">
        <f t="shared" si="5"/>
        <v>64</v>
      </c>
      <c r="W23" s="124">
        <f t="shared" si="6"/>
        <v>0</v>
      </c>
    </row>
    <row r="24" spans="1:23" x14ac:dyDescent="0.2">
      <c r="A24" s="8">
        <f t="shared" si="7"/>
        <v>44698</v>
      </c>
      <c r="B24" s="9"/>
      <c r="C24" s="9"/>
      <c r="D24" s="3" t="str">
        <f t="shared" si="0"/>
        <v/>
      </c>
      <c r="E24" s="4">
        <f t="shared" si="1"/>
        <v>0</v>
      </c>
      <c r="F24" s="5">
        <f t="shared" si="2"/>
        <v>0</v>
      </c>
      <c r="G24" s="146"/>
      <c r="H24" s="147"/>
      <c r="I24" s="148"/>
      <c r="J24" s="9"/>
      <c r="K24" s="9"/>
      <c r="L24" s="10"/>
      <c r="M24" s="7">
        <f t="shared" si="3"/>
        <v>0</v>
      </c>
      <c r="N24" s="44" t="str">
        <f t="shared" ca="1" si="4"/>
        <v/>
      </c>
      <c r="O24" s="45"/>
      <c r="P24" s="56"/>
      <c r="Q24" s="56"/>
      <c r="R24" s="56"/>
      <c r="S24" s="56"/>
      <c r="T24" s="56"/>
      <c r="U24" s="122">
        <f t="shared" si="9"/>
        <v>0</v>
      </c>
      <c r="V24" s="122">
        <f t="shared" si="5"/>
        <v>72</v>
      </c>
      <c r="W24" s="124">
        <f t="shared" si="6"/>
        <v>0</v>
      </c>
    </row>
    <row r="25" spans="1:23" x14ac:dyDescent="0.2">
      <c r="A25" s="8">
        <f t="shared" si="7"/>
        <v>44699</v>
      </c>
      <c r="B25" s="9"/>
      <c r="C25" s="9"/>
      <c r="D25" s="3" t="str">
        <f t="shared" si="0"/>
        <v/>
      </c>
      <c r="E25" s="4">
        <f t="shared" si="1"/>
        <v>0</v>
      </c>
      <c r="F25" s="5">
        <f t="shared" si="2"/>
        <v>0</v>
      </c>
      <c r="G25" s="146"/>
      <c r="H25" s="147"/>
      <c r="I25" s="148"/>
      <c r="J25" s="9"/>
      <c r="K25" s="9"/>
      <c r="L25" s="10"/>
      <c r="M25" s="7">
        <f t="shared" si="3"/>
        <v>0</v>
      </c>
      <c r="N25" s="44" t="str">
        <f t="shared" ca="1" si="4"/>
        <v/>
      </c>
      <c r="O25" s="45"/>
      <c r="P25" s="56"/>
      <c r="Q25" s="56"/>
      <c r="R25" s="56"/>
      <c r="S25" s="56"/>
      <c r="T25" s="56"/>
      <c r="U25" s="122">
        <f t="shared" si="9"/>
        <v>1</v>
      </c>
      <c r="V25" s="122">
        <f t="shared" si="5"/>
        <v>80</v>
      </c>
      <c r="W25" s="124">
        <f t="shared" si="6"/>
        <v>0</v>
      </c>
    </row>
    <row r="26" spans="1:23" x14ac:dyDescent="0.2">
      <c r="A26" s="8">
        <f t="shared" si="7"/>
        <v>44700</v>
      </c>
      <c r="B26" s="9"/>
      <c r="C26" s="9"/>
      <c r="D26" s="3" t="str">
        <f t="shared" si="0"/>
        <v/>
      </c>
      <c r="E26" s="4">
        <f t="shared" si="1"/>
        <v>0</v>
      </c>
      <c r="F26" s="5">
        <f t="shared" si="2"/>
        <v>0</v>
      </c>
      <c r="G26" s="146"/>
      <c r="H26" s="147"/>
      <c r="I26" s="148"/>
      <c r="J26" s="9"/>
      <c r="K26" s="9"/>
      <c r="L26" s="10"/>
      <c r="M26" s="7">
        <f t="shared" si="3"/>
        <v>0</v>
      </c>
      <c r="N26" s="44" t="str">
        <f t="shared" ca="1" si="4"/>
        <v/>
      </c>
      <c r="O26" s="45"/>
      <c r="P26" s="56"/>
      <c r="Q26" s="56"/>
      <c r="R26" s="56"/>
      <c r="S26" s="56"/>
      <c r="T26" s="56"/>
      <c r="U26" s="122">
        <f t="shared" si="9"/>
        <v>2</v>
      </c>
      <c r="V26" s="122">
        <f t="shared" si="5"/>
        <v>88</v>
      </c>
      <c r="W26" s="124">
        <f t="shared" si="6"/>
        <v>0</v>
      </c>
    </row>
    <row r="27" spans="1:23" x14ac:dyDescent="0.2">
      <c r="A27" s="8">
        <f t="shared" si="7"/>
        <v>44701</v>
      </c>
      <c r="B27" s="9"/>
      <c r="C27" s="9"/>
      <c r="D27" s="3" t="str">
        <f t="shared" si="0"/>
        <v/>
      </c>
      <c r="E27" s="4">
        <f t="shared" si="1"/>
        <v>0</v>
      </c>
      <c r="F27" s="5">
        <f t="shared" si="2"/>
        <v>0</v>
      </c>
      <c r="G27" s="146"/>
      <c r="H27" s="147"/>
      <c r="I27" s="148"/>
      <c r="J27" s="9"/>
      <c r="K27" s="9"/>
      <c r="L27" s="10"/>
      <c r="M27" s="7">
        <f t="shared" si="3"/>
        <v>0</v>
      </c>
      <c r="N27" s="44" t="str">
        <f t="shared" ca="1" si="4"/>
        <v/>
      </c>
      <c r="O27" s="45"/>
      <c r="P27" s="56"/>
      <c r="Q27" s="56"/>
      <c r="R27" s="56"/>
      <c r="S27" s="56"/>
      <c r="T27" s="56"/>
      <c r="U27" s="122">
        <f t="shared" si="9"/>
        <v>3</v>
      </c>
      <c r="V27" s="122">
        <f t="shared" si="5"/>
        <v>96</v>
      </c>
      <c r="W27" s="124">
        <f t="shared" si="6"/>
        <v>0</v>
      </c>
    </row>
    <row r="28" spans="1:23" x14ac:dyDescent="0.2">
      <c r="A28" s="8">
        <f t="shared" si="7"/>
        <v>44702</v>
      </c>
      <c r="B28" s="9"/>
      <c r="C28" s="9"/>
      <c r="D28" s="3" t="str">
        <f t="shared" si="0"/>
        <v/>
      </c>
      <c r="E28" s="4">
        <f t="shared" si="1"/>
        <v>0</v>
      </c>
      <c r="F28" s="5">
        <f t="shared" si="2"/>
        <v>0</v>
      </c>
      <c r="G28" s="146"/>
      <c r="H28" s="147"/>
      <c r="I28" s="148"/>
      <c r="J28" s="9"/>
      <c r="K28" s="9"/>
      <c r="L28" s="10"/>
      <c r="M28" s="7">
        <f t="shared" si="3"/>
        <v>0</v>
      </c>
      <c r="N28" s="44" t="str">
        <f t="shared" ca="1" si="4"/>
        <v/>
      </c>
      <c r="O28" s="45"/>
      <c r="P28" s="56"/>
      <c r="Q28" s="56"/>
      <c r="R28" s="56"/>
      <c r="S28" s="56"/>
      <c r="T28" s="56"/>
      <c r="U28" s="122">
        <f t="shared" si="9"/>
        <v>4</v>
      </c>
      <c r="V28" s="122">
        <f t="shared" si="5"/>
        <v>104</v>
      </c>
      <c r="W28" s="124">
        <f t="shared" si="6"/>
        <v>0</v>
      </c>
    </row>
    <row r="29" spans="1:23" x14ac:dyDescent="0.2">
      <c r="A29" s="8">
        <f t="shared" si="7"/>
        <v>44703</v>
      </c>
      <c r="B29" s="9"/>
      <c r="C29" s="9"/>
      <c r="D29" s="3" t="str">
        <f t="shared" si="0"/>
        <v/>
      </c>
      <c r="E29" s="4">
        <f t="shared" si="1"/>
        <v>0</v>
      </c>
      <c r="F29" s="5">
        <f t="shared" si="2"/>
        <v>0</v>
      </c>
      <c r="G29" s="146"/>
      <c r="H29" s="147"/>
      <c r="I29" s="148"/>
      <c r="J29" s="9"/>
      <c r="K29" s="9"/>
      <c r="L29" s="10"/>
      <c r="M29" s="7">
        <f t="shared" si="3"/>
        <v>0</v>
      </c>
      <c r="N29" s="44" t="str">
        <f t="shared" ca="1" si="4"/>
        <v/>
      </c>
      <c r="O29" s="45"/>
      <c r="P29" s="56"/>
      <c r="Q29" s="56"/>
      <c r="R29" s="56"/>
      <c r="S29" s="56"/>
      <c r="T29" s="56"/>
      <c r="U29" s="122">
        <f t="shared" si="9"/>
        <v>5</v>
      </c>
      <c r="V29" s="122">
        <f t="shared" si="5"/>
        <v>104</v>
      </c>
      <c r="W29" s="124">
        <f t="shared" si="6"/>
        <v>0</v>
      </c>
    </row>
    <row r="30" spans="1:23" x14ac:dyDescent="0.2">
      <c r="A30" s="8">
        <f t="shared" si="7"/>
        <v>44704</v>
      </c>
      <c r="B30" s="9"/>
      <c r="C30" s="9"/>
      <c r="D30" s="3" t="str">
        <f t="shared" si="0"/>
        <v/>
      </c>
      <c r="E30" s="4">
        <f t="shared" si="1"/>
        <v>0</v>
      </c>
      <c r="F30" s="5">
        <f t="shared" si="2"/>
        <v>0</v>
      </c>
      <c r="G30" s="146" t="s">
        <v>91</v>
      </c>
      <c r="H30" s="147"/>
      <c r="I30" s="148"/>
      <c r="J30" s="9"/>
      <c r="K30" s="9"/>
      <c r="L30" s="10"/>
      <c r="M30" s="7">
        <f t="shared" si="3"/>
        <v>0</v>
      </c>
      <c r="N30" s="44" t="str">
        <f t="shared" ca="1" si="4"/>
        <v/>
      </c>
      <c r="O30" s="45"/>
      <c r="P30" s="56"/>
      <c r="Q30" s="56"/>
      <c r="R30" s="56"/>
      <c r="S30" s="56"/>
      <c r="T30" s="56"/>
      <c r="U30" s="122">
        <f t="shared" si="9"/>
        <v>6</v>
      </c>
      <c r="V30" s="122">
        <f t="shared" si="5"/>
        <v>104</v>
      </c>
      <c r="W30" s="124">
        <f t="shared" si="6"/>
        <v>0</v>
      </c>
    </row>
    <row r="31" spans="1:23" x14ac:dyDescent="0.2">
      <c r="A31" s="8">
        <f t="shared" si="7"/>
        <v>44705</v>
      </c>
      <c r="B31" s="9"/>
      <c r="C31" s="9"/>
      <c r="D31" s="3" t="str">
        <f t="shared" si="0"/>
        <v/>
      </c>
      <c r="E31" s="4">
        <f t="shared" si="1"/>
        <v>0</v>
      </c>
      <c r="F31" s="5">
        <f t="shared" si="2"/>
        <v>0</v>
      </c>
      <c r="G31" s="146"/>
      <c r="H31" s="147"/>
      <c r="I31" s="148"/>
      <c r="J31" s="9"/>
      <c r="K31" s="9"/>
      <c r="L31" s="10"/>
      <c r="M31" s="7">
        <f t="shared" si="3"/>
        <v>0</v>
      </c>
      <c r="N31" s="44" t="str">
        <f t="shared" ca="1" si="4"/>
        <v/>
      </c>
      <c r="O31" s="45"/>
      <c r="P31" s="56"/>
      <c r="Q31" s="56"/>
      <c r="R31" s="56"/>
      <c r="S31" s="56"/>
      <c r="T31" s="56"/>
      <c r="U31" s="122">
        <f t="shared" si="9"/>
        <v>0</v>
      </c>
      <c r="V31" s="122">
        <f t="shared" si="5"/>
        <v>112</v>
      </c>
      <c r="W31" s="124">
        <f t="shared" si="6"/>
        <v>0</v>
      </c>
    </row>
    <row r="32" spans="1:23" x14ac:dyDescent="0.2">
      <c r="A32" s="8">
        <f t="shared" si="7"/>
        <v>44706</v>
      </c>
      <c r="B32" s="9"/>
      <c r="C32" s="9"/>
      <c r="D32" s="3" t="str">
        <f t="shared" si="0"/>
        <v/>
      </c>
      <c r="E32" s="4">
        <f t="shared" si="1"/>
        <v>0</v>
      </c>
      <c r="F32" s="5">
        <f t="shared" si="2"/>
        <v>0</v>
      </c>
      <c r="G32" s="146"/>
      <c r="H32" s="147"/>
      <c r="I32" s="148"/>
      <c r="J32" s="9"/>
      <c r="K32" s="9"/>
      <c r="L32" s="10"/>
      <c r="M32" s="7">
        <f t="shared" si="3"/>
        <v>0</v>
      </c>
      <c r="N32" s="44" t="str">
        <f t="shared" ca="1" si="4"/>
        <v/>
      </c>
      <c r="O32" s="45"/>
      <c r="P32" s="56"/>
      <c r="Q32" s="56"/>
      <c r="R32" s="56"/>
      <c r="S32" s="56"/>
      <c r="T32" s="56"/>
      <c r="U32" s="122">
        <f t="shared" si="9"/>
        <v>1</v>
      </c>
      <c r="V32" s="122">
        <f t="shared" si="5"/>
        <v>120</v>
      </c>
      <c r="W32" s="124">
        <f t="shared" si="6"/>
        <v>0</v>
      </c>
    </row>
    <row r="33" spans="1:23" x14ac:dyDescent="0.2">
      <c r="A33" s="8">
        <f t="shared" si="7"/>
        <v>44707</v>
      </c>
      <c r="B33" s="9"/>
      <c r="C33" s="9"/>
      <c r="D33" s="3" t="str">
        <f t="shared" si="0"/>
        <v/>
      </c>
      <c r="E33" s="4">
        <f t="shared" si="1"/>
        <v>0</v>
      </c>
      <c r="F33" s="5">
        <f t="shared" si="2"/>
        <v>0</v>
      </c>
      <c r="G33" s="146"/>
      <c r="H33" s="147"/>
      <c r="I33" s="148"/>
      <c r="J33" s="9"/>
      <c r="K33" s="9"/>
      <c r="L33" s="10"/>
      <c r="M33" s="7">
        <f t="shared" si="3"/>
        <v>0</v>
      </c>
      <c r="N33" s="44" t="str">
        <f t="shared" ca="1" si="4"/>
        <v/>
      </c>
      <c r="O33" s="45"/>
      <c r="P33" s="56"/>
      <c r="Q33" s="56"/>
      <c r="R33" s="56"/>
      <c r="S33" s="56"/>
      <c r="T33" s="56"/>
      <c r="U33" s="122">
        <f t="shared" si="9"/>
        <v>2</v>
      </c>
      <c r="V33" s="122">
        <f t="shared" si="5"/>
        <v>128</v>
      </c>
      <c r="W33" s="124">
        <f t="shared" si="6"/>
        <v>0</v>
      </c>
    </row>
    <row r="34" spans="1:23" x14ac:dyDescent="0.2">
      <c r="A34" s="8">
        <f t="shared" si="7"/>
        <v>44708</v>
      </c>
      <c r="B34" s="9"/>
      <c r="C34" s="9"/>
      <c r="D34" s="3" t="str">
        <f t="shared" si="0"/>
        <v/>
      </c>
      <c r="E34" s="4">
        <f t="shared" si="1"/>
        <v>0</v>
      </c>
      <c r="F34" s="5">
        <f t="shared" si="2"/>
        <v>0</v>
      </c>
      <c r="G34" s="146"/>
      <c r="H34" s="147"/>
      <c r="I34" s="148"/>
      <c r="J34" s="9"/>
      <c r="K34" s="9"/>
      <c r="L34" s="10"/>
      <c r="M34" s="7">
        <f t="shared" si="3"/>
        <v>0</v>
      </c>
      <c r="N34" s="44" t="str">
        <f t="shared" ca="1" si="4"/>
        <v/>
      </c>
      <c r="O34" s="45"/>
      <c r="P34" s="56"/>
      <c r="Q34" s="56"/>
      <c r="R34" s="56"/>
      <c r="S34" s="56"/>
      <c r="T34" s="56"/>
      <c r="U34" s="122">
        <f t="shared" si="9"/>
        <v>3</v>
      </c>
      <c r="V34" s="122">
        <f t="shared" si="5"/>
        <v>136</v>
      </c>
      <c r="W34" s="124">
        <f t="shared" si="6"/>
        <v>0</v>
      </c>
    </row>
    <row r="35" spans="1:23" x14ac:dyDescent="0.2">
      <c r="A35" s="8">
        <f t="shared" si="7"/>
        <v>44709</v>
      </c>
      <c r="B35" s="9"/>
      <c r="C35" s="9"/>
      <c r="D35" s="3" t="str">
        <f t="shared" si="0"/>
        <v/>
      </c>
      <c r="E35" s="4">
        <f t="shared" si="1"/>
        <v>0</v>
      </c>
      <c r="F35" s="5">
        <f t="shared" si="2"/>
        <v>0</v>
      </c>
      <c r="G35" s="146"/>
      <c r="H35" s="147"/>
      <c r="I35" s="148"/>
      <c r="J35" s="9"/>
      <c r="K35" s="9"/>
      <c r="L35" s="10"/>
      <c r="M35" s="7">
        <f t="shared" si="3"/>
        <v>0</v>
      </c>
      <c r="N35" s="44" t="str">
        <f t="shared" ca="1" si="4"/>
        <v/>
      </c>
      <c r="O35" s="45"/>
      <c r="P35" s="56"/>
      <c r="Q35" s="56"/>
      <c r="R35" s="56"/>
      <c r="S35" s="56"/>
      <c r="T35" s="56"/>
      <c r="U35" s="122">
        <f t="shared" si="9"/>
        <v>4</v>
      </c>
      <c r="V35" s="122">
        <f t="shared" si="5"/>
        <v>144</v>
      </c>
      <c r="W35" s="124">
        <f t="shared" si="6"/>
        <v>0</v>
      </c>
    </row>
    <row r="36" spans="1:23" x14ac:dyDescent="0.2">
      <c r="A36" s="8">
        <f t="shared" si="7"/>
        <v>44710</v>
      </c>
      <c r="B36" s="9"/>
      <c r="C36" s="9"/>
      <c r="D36" s="3" t="str">
        <f t="shared" si="0"/>
        <v/>
      </c>
      <c r="E36" s="4">
        <f t="shared" si="1"/>
        <v>0</v>
      </c>
      <c r="F36" s="5">
        <f t="shared" si="2"/>
        <v>0</v>
      </c>
      <c r="G36" s="146"/>
      <c r="H36" s="147"/>
      <c r="I36" s="148"/>
      <c r="J36" s="9"/>
      <c r="K36" s="9"/>
      <c r="L36" s="10"/>
      <c r="M36" s="7">
        <f t="shared" si="3"/>
        <v>0</v>
      </c>
      <c r="N36" s="44" t="str">
        <f t="shared" ca="1" si="4"/>
        <v/>
      </c>
      <c r="O36" s="45"/>
      <c r="P36" s="56"/>
      <c r="Q36" s="56"/>
      <c r="R36" s="56"/>
      <c r="S36" s="56"/>
      <c r="T36" s="56"/>
      <c r="U36" s="122">
        <f t="shared" si="9"/>
        <v>5</v>
      </c>
      <c r="V36" s="122">
        <f t="shared" si="5"/>
        <v>144</v>
      </c>
      <c r="W36" s="124">
        <f t="shared" si="6"/>
        <v>0</v>
      </c>
    </row>
    <row r="37" spans="1:23" x14ac:dyDescent="0.2">
      <c r="A37" s="8">
        <f t="shared" si="7"/>
        <v>44711</v>
      </c>
      <c r="B37" s="9"/>
      <c r="C37" s="9"/>
      <c r="D37" s="3" t="str">
        <f t="shared" si="0"/>
        <v/>
      </c>
      <c r="E37" s="4">
        <f t="shared" si="1"/>
        <v>0</v>
      </c>
      <c r="F37" s="5">
        <f t="shared" si="2"/>
        <v>0</v>
      </c>
      <c r="G37" s="146"/>
      <c r="H37" s="147"/>
      <c r="I37" s="148"/>
      <c r="J37" s="9"/>
      <c r="K37" s="9"/>
      <c r="L37" s="10"/>
      <c r="M37" s="7">
        <f t="shared" si="3"/>
        <v>0</v>
      </c>
      <c r="N37" s="44" t="str">
        <f t="shared" ca="1" si="4"/>
        <v/>
      </c>
      <c r="O37" s="45"/>
      <c r="P37" s="56"/>
      <c r="Q37" s="56"/>
      <c r="R37" s="56"/>
      <c r="S37" s="56"/>
      <c r="T37" s="56"/>
      <c r="U37" s="122">
        <f t="shared" si="9"/>
        <v>6</v>
      </c>
      <c r="V37" s="122">
        <f t="shared" si="5"/>
        <v>144</v>
      </c>
      <c r="W37" s="124">
        <f t="shared" si="6"/>
        <v>0</v>
      </c>
    </row>
    <row r="38" spans="1:23" x14ac:dyDescent="0.2">
      <c r="A38" s="12"/>
      <c r="G38" s="54"/>
      <c r="H38" s="54"/>
      <c r="I38" s="54"/>
      <c r="J38" s="55"/>
      <c r="K38" s="55"/>
      <c r="L38" s="54"/>
      <c r="P38" s="57">
        <f>SUM(P7:P37)</f>
        <v>0</v>
      </c>
      <c r="Q38" s="57">
        <f>SUM(Q7:Q37)</f>
        <v>0</v>
      </c>
      <c r="R38" s="57">
        <f>SUM(R7:R37)</f>
        <v>0</v>
      </c>
      <c r="S38" s="57">
        <f>SUM(S7:S37)</f>
        <v>0</v>
      </c>
      <c r="T38" s="57">
        <f>SUM(T7:T37)</f>
        <v>0</v>
      </c>
    </row>
    <row r="40" spans="1:23" x14ac:dyDescent="0.2">
      <c r="A40" s="13" t="str">
        <f>Blankettinfo</f>
        <v>Version 4.6 © LiU 2025-12-03</v>
      </c>
    </row>
  </sheetData>
  <mergeCells count="35">
    <mergeCell ref="G36:I36"/>
    <mergeCell ref="G27:I27"/>
    <mergeCell ref="G23:I23"/>
    <mergeCell ref="G8:I8"/>
    <mergeCell ref="G17:I17"/>
    <mergeCell ref="G37:I37"/>
    <mergeCell ref="G18:I18"/>
    <mergeCell ref="G34:I34"/>
    <mergeCell ref="G30:I30"/>
    <mergeCell ref="G15:I15"/>
    <mergeCell ref="G33:I33"/>
    <mergeCell ref="G24:I24"/>
    <mergeCell ref="G35:I35"/>
    <mergeCell ref="G20:I20"/>
    <mergeCell ref="G26:I26"/>
    <mergeCell ref="G29:I29"/>
    <mergeCell ref="G25:I25"/>
    <mergeCell ref="G16:I16"/>
    <mergeCell ref="G32:I32"/>
    <mergeCell ref="G22:I22"/>
    <mergeCell ref="G31:I31"/>
    <mergeCell ref="G10:I10"/>
    <mergeCell ref="G28:I28"/>
    <mergeCell ref="G19:I19"/>
    <mergeCell ref="G13:I13"/>
    <mergeCell ref="B1:D1"/>
    <mergeCell ref="G14:I14"/>
    <mergeCell ref="G9:I9"/>
    <mergeCell ref="G12:I12"/>
    <mergeCell ref="G21:I21"/>
    <mergeCell ref="G11:I11"/>
    <mergeCell ref="B3:D3"/>
    <mergeCell ref="G7:I7"/>
    <mergeCell ref="B4:C4"/>
    <mergeCell ref="B2:D2"/>
  </mergeCells>
  <conditionalFormatting sqref="A7:M37">
    <cfRule type="expression" dxfId="23" priority="1" stopIfTrue="1">
      <formula>$U7&gt;4</formula>
    </cfRule>
  </conditionalFormatting>
  <conditionalFormatting sqref="N7:N37">
    <cfRule type="cellIs" dxfId="22" priority="2" stopIfTrue="1" operator="greaterThanOrEqual">
      <formula>0</formula>
    </cfRule>
    <cfRule type="cellIs" dxfId="21" priority="3" stopIfTrue="1" operator="lessThan">
      <formula>0</formula>
    </cfRule>
  </conditionalFormatting>
  <dataValidations count="3">
    <dataValidation type="list" allowBlank="1" showInputMessage="1" showErrorMessage="1" sqref="L7:L37" xr:uid="{00000000-0002-0000-0700-000000000000}">
      <formula1>"+,-"</formula1>
    </dataValidation>
    <dataValidation type="time" allowBlank="1" showInputMessage="1" showErrorMessage="1" errorTitle="Fel tidsformat" error="Ange tid som timmar och minuter med kolon som skiljetecken - till exempel 9:30 för klockan halv tio på förmiddagen." sqref="B7:C37 J7:K37" xr:uid="{00000000-0002-0000-0700-000001000000}">
      <formula1>0</formula1>
      <formula2>0.999988425925926</formula2>
    </dataValidation>
    <dataValidation type="time" allowBlank="1" showInputMessage="1" showErrorMessage="1" errorTitle="Fel tidsformat" error="Lunchen måste vara minst 30 minuter - tiden anges med timmar och minuter, till exempel 0:45 för trekvarts timmes lunch." promptTitle="Lunchrast" prompt="Lunchen anges som 30 minuter när &quot;Slutar&quot;-tiden fyllts i. Ändra manuellt om lunchen är längre än 30 minuter." sqref="D7:D37" xr:uid="{00000000-0002-0000-0700-000002000000}">
      <formula1>0.0208217592592593</formula1>
      <formula2>0.333333333333333</formula2>
    </dataValidation>
  </dataValidations>
  <pageMargins left="0.74803149606299213" right="0.74803149606299213" top="0.98425196850393704" bottom="0.98425196850393704" header="0.51181102362204722" footer="0.51181102362204722"/>
  <pageSetup paperSize="9" scale="64" orientation="landscape"/>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Blad7">
    <pageSetUpPr fitToPage="1"/>
  </sheetPr>
  <dimension ref="A1:Y40"/>
  <sheetViews>
    <sheetView workbookViewId="0"/>
  </sheetViews>
  <sheetFormatPr baseColWidth="10" defaultColWidth="9.140625" defaultRowHeight="15" x14ac:dyDescent="0.2"/>
  <cols>
    <col min="1" max="1" width="8.7109375" style="13" customWidth="1"/>
    <col min="2" max="5" width="10.7109375" style="13" customWidth="1"/>
    <col min="6" max="9" width="10.7109375" style="1" customWidth="1"/>
    <col min="10" max="11" width="8.7109375" style="11" customWidth="1"/>
    <col min="12" max="13" width="8.7109375" style="1" customWidth="1"/>
    <col min="14" max="14" width="7.7109375" style="14" customWidth="1"/>
    <col min="15" max="15" width="33.7109375" style="1" customWidth="1"/>
    <col min="16" max="20" width="10.7109375" style="1" customWidth="1"/>
    <col min="21" max="23" width="9.140625" style="122" hidden="1" customWidth="1"/>
    <col min="24" max="25" width="9.140625" style="120" customWidth="1"/>
    <col min="26" max="26" width="9.140625" style="1" customWidth="1"/>
    <col min="27" max="16384" width="9.140625" style="1"/>
  </cols>
  <sheetData>
    <row r="1" spans="1:24" x14ac:dyDescent="0.2">
      <c r="A1" s="66" t="s">
        <v>0</v>
      </c>
      <c r="B1" s="151" t="str">
        <f>Namn</f>
        <v>Håkan Stensby</v>
      </c>
      <c r="C1" s="152"/>
      <c r="D1" s="152"/>
      <c r="E1" s="47" t="s">
        <v>1</v>
      </c>
      <c r="F1" s="115">
        <f>SUM(F7:F37)</f>
        <v>0</v>
      </c>
      <c r="G1" s="51"/>
      <c r="H1" s="47" t="s">
        <v>2</v>
      </c>
      <c r="I1" s="76">
        <f>VLOOKUP(B3,översikt!A61:C72,3,FALSE)*B4</f>
        <v>168</v>
      </c>
      <c r="J1" s="77"/>
      <c r="K1" s="78"/>
      <c r="L1" s="79"/>
      <c r="M1" s="80"/>
      <c r="N1" s="80"/>
      <c r="O1" s="81"/>
      <c r="P1" s="85"/>
      <c r="Q1" s="85"/>
      <c r="R1" s="85"/>
      <c r="S1" s="85"/>
      <c r="T1" s="85"/>
    </row>
    <row r="2" spans="1:24" x14ac:dyDescent="0.2">
      <c r="A2" s="67" t="s">
        <v>3</v>
      </c>
      <c r="B2" s="161" t="str">
        <f>Pnr</f>
        <v>19770217-6418</v>
      </c>
      <c r="C2" s="154"/>
      <c r="D2" s="154"/>
      <c r="E2" s="53" t="s">
        <v>4</v>
      </c>
      <c r="F2" s="116">
        <f>VALUE(SUM(M7:M37)*24)</f>
        <v>0</v>
      </c>
      <c r="G2" s="48"/>
      <c r="H2" s="53" t="s">
        <v>5</v>
      </c>
      <c r="I2" s="82">
        <f>IF(F3=0,0,F3-I1)</f>
        <v>0</v>
      </c>
      <c r="J2" s="83"/>
      <c r="K2" s="84"/>
      <c r="L2" s="85"/>
      <c r="M2" s="86"/>
      <c r="N2" s="87"/>
      <c r="O2" s="88"/>
      <c r="P2" s="85"/>
      <c r="Q2" s="85"/>
      <c r="R2" s="85"/>
      <c r="S2" s="85"/>
      <c r="T2" s="85"/>
    </row>
    <row r="3" spans="1:24" x14ac:dyDescent="0.2">
      <c r="A3" s="67" t="s">
        <v>6</v>
      </c>
      <c r="B3" s="155">
        <f>översikt!A66</f>
        <v>44712</v>
      </c>
      <c r="C3" s="154"/>
      <c r="D3" s="154"/>
      <c r="E3" s="53" t="s">
        <v>7</v>
      </c>
      <c r="F3" s="116">
        <f>F1+F2</f>
        <v>0</v>
      </c>
      <c r="G3" s="49"/>
      <c r="H3" s="53" t="s">
        <v>8</v>
      </c>
      <c r="I3" s="82" t="str">
        <f ca="1">maj!I4</f>
        <v>-</v>
      </c>
      <c r="J3" s="84"/>
      <c r="K3" s="85"/>
      <c r="L3" s="85"/>
      <c r="M3" s="89"/>
      <c r="N3" s="87"/>
      <c r="O3" s="88"/>
      <c r="P3" s="85"/>
      <c r="Q3" s="85"/>
      <c r="R3" s="85"/>
      <c r="S3" s="85"/>
      <c r="T3" s="85"/>
      <c r="W3" s="123"/>
    </row>
    <row r="4" spans="1:24" x14ac:dyDescent="0.2">
      <c r="A4" s="67" t="s">
        <v>9</v>
      </c>
      <c r="B4" s="159">
        <f>Tjgrad</f>
        <v>1</v>
      </c>
      <c r="C4" s="160"/>
      <c r="D4" s="52"/>
      <c r="E4" s="53" t="s">
        <v>10</v>
      </c>
      <c r="F4" s="50"/>
      <c r="G4" s="49"/>
      <c r="H4" s="53" t="s">
        <v>11</v>
      </c>
      <c r="I4" s="131" t="str">
        <f ca="1">IF(N7="", "-", OFFSET(N6, COUNT(N:N), 0, 1, 1) + I3)</f>
        <v>-</v>
      </c>
      <c r="J4" s="84"/>
      <c r="K4" s="85"/>
      <c r="L4" s="85"/>
      <c r="M4" s="89"/>
      <c r="N4" s="87"/>
      <c r="O4" s="88"/>
      <c r="P4" s="90" t="s">
        <v>12</v>
      </c>
      <c r="Q4" s="85"/>
      <c r="R4" s="85"/>
      <c r="S4" s="85"/>
      <c r="T4" s="85"/>
    </row>
    <row r="5" spans="1:24" x14ac:dyDescent="0.2">
      <c r="A5" s="68"/>
      <c r="B5" s="70" t="s">
        <v>13</v>
      </c>
      <c r="C5" s="70"/>
      <c r="D5" s="70"/>
      <c r="E5" s="70"/>
      <c r="F5" s="70"/>
      <c r="G5" s="70"/>
      <c r="H5" s="70"/>
      <c r="I5" s="70"/>
      <c r="J5" s="70" t="s">
        <v>14</v>
      </c>
      <c r="K5" s="70"/>
      <c r="L5" s="70"/>
      <c r="M5" s="70"/>
      <c r="N5" s="71" t="s">
        <v>15</v>
      </c>
      <c r="O5" s="72"/>
      <c r="P5" s="91" t="s">
        <v>16</v>
      </c>
      <c r="Q5" s="70"/>
      <c r="R5" s="70"/>
      <c r="S5" s="70"/>
      <c r="T5" s="70"/>
      <c r="U5" s="122" t="s">
        <v>17</v>
      </c>
      <c r="V5" s="122" t="s">
        <v>18</v>
      </c>
      <c r="W5" s="122" t="s">
        <v>19</v>
      </c>
    </row>
    <row r="6" spans="1:24" x14ac:dyDescent="0.2">
      <c r="A6" s="69" t="s">
        <v>17</v>
      </c>
      <c r="B6" s="73" t="s">
        <v>20</v>
      </c>
      <c r="C6" s="73" t="s">
        <v>21</v>
      </c>
      <c r="D6" s="73" t="s">
        <v>22</v>
      </c>
      <c r="E6" s="73" t="s">
        <v>23</v>
      </c>
      <c r="F6" s="73" t="s">
        <v>24</v>
      </c>
      <c r="G6" s="73" t="s">
        <v>25</v>
      </c>
      <c r="H6" s="73"/>
      <c r="I6" s="73"/>
      <c r="J6" s="73" t="s">
        <v>26</v>
      </c>
      <c r="K6" s="73" t="s">
        <v>27</v>
      </c>
      <c r="L6" s="73" t="s">
        <v>28</v>
      </c>
      <c r="M6" s="73" t="s">
        <v>29</v>
      </c>
      <c r="N6" s="74" t="s">
        <v>30</v>
      </c>
      <c r="O6" s="75" t="s">
        <v>31</v>
      </c>
      <c r="P6" s="113"/>
      <c r="Q6" s="113"/>
      <c r="R6" s="113"/>
      <c r="S6" s="113"/>
      <c r="T6" s="113"/>
    </row>
    <row r="7" spans="1:24" x14ac:dyDescent="0.2">
      <c r="A7" s="2">
        <f>B3</f>
        <v>44712</v>
      </c>
      <c r="B7" s="3"/>
      <c r="C7" s="3"/>
      <c r="D7" s="3" t="str">
        <f t="shared" ref="D7:D36" si="0">IF(C7="","",0.5/24)</f>
        <v/>
      </c>
      <c r="E7" s="4">
        <f t="shared" ref="E7:E36" si="1">IF(C7="",0,C7-B7-D7)</f>
        <v>0</v>
      </c>
      <c r="F7" s="5">
        <f t="shared" ref="F7:F36" si="2">IF(E7="","",VALUE(E7)*24)</f>
        <v>0</v>
      </c>
      <c r="G7" s="156"/>
      <c r="H7" s="157"/>
      <c r="I7" s="158"/>
      <c r="J7" s="3"/>
      <c r="K7" s="3"/>
      <c r="L7" s="6"/>
      <c r="M7" s="7">
        <f t="shared" ref="M7:M36" si="3">IF(OR(G7="Semester",G7="Sjuk",G7="Vård av barn"),8/24*$B$4,IF(L7="+",K7-J7,IF(L7="-",(K7-J7)*-1,0)))</f>
        <v>0</v>
      </c>
      <c r="N7" s="42" t="str">
        <f t="shared" ref="N7:N36" ca="1" si="4">IF(Dagen&gt;A7,W7-V7,"")</f>
        <v/>
      </c>
      <c r="O7" s="43"/>
      <c r="P7" s="56"/>
      <c r="Q7" s="56"/>
      <c r="R7" s="56"/>
      <c r="S7" s="56"/>
      <c r="T7" s="56"/>
      <c r="U7" s="125">
        <f t="shared" ref="U7:U24" si="5">IF(A7="",0,WEEKDAY(A7,3))</f>
        <v>0</v>
      </c>
      <c r="V7" s="122">
        <f t="shared" ref="V7:V36" si="6">IF(U7&gt;4,V6,V6+$B$4*8)</f>
        <v>8</v>
      </c>
      <c r="W7" s="124">
        <f t="shared" ref="W7:W36" si="7">VALUE(E7)*24+VALUE(M7)*24+W6</f>
        <v>0</v>
      </c>
    </row>
    <row r="8" spans="1:24" x14ac:dyDescent="0.2">
      <c r="A8" s="8">
        <f t="shared" ref="A8:A36" si="8">A7+1</f>
        <v>44713</v>
      </c>
      <c r="B8" s="9"/>
      <c r="C8" s="9"/>
      <c r="D8" s="3" t="str">
        <f t="shared" si="0"/>
        <v/>
      </c>
      <c r="E8" s="4">
        <f t="shared" si="1"/>
        <v>0</v>
      </c>
      <c r="F8" s="5">
        <f t="shared" si="2"/>
        <v>0</v>
      </c>
      <c r="G8" s="146"/>
      <c r="H8" s="147"/>
      <c r="I8" s="148"/>
      <c r="J8" s="9"/>
      <c r="K8" s="9"/>
      <c r="L8" s="10"/>
      <c r="M8" s="7">
        <f t="shared" si="3"/>
        <v>0</v>
      </c>
      <c r="N8" s="44" t="str">
        <f t="shared" ca="1" si="4"/>
        <v/>
      </c>
      <c r="O8" s="45"/>
      <c r="P8" s="56"/>
      <c r="Q8" s="56"/>
      <c r="R8" s="56"/>
      <c r="S8" s="56"/>
      <c r="T8" s="56"/>
      <c r="U8" s="122">
        <f t="shared" si="5"/>
        <v>1</v>
      </c>
      <c r="V8" s="122">
        <f t="shared" si="6"/>
        <v>16</v>
      </c>
      <c r="W8" s="124">
        <f t="shared" si="7"/>
        <v>0</v>
      </c>
      <c r="X8" s="121"/>
    </row>
    <row r="9" spans="1:24" x14ac:dyDescent="0.2">
      <c r="A9" s="8">
        <f t="shared" si="8"/>
        <v>44714</v>
      </c>
      <c r="B9" s="9"/>
      <c r="C9" s="9"/>
      <c r="D9" s="3" t="str">
        <f t="shared" si="0"/>
        <v/>
      </c>
      <c r="E9" s="4">
        <f t="shared" si="1"/>
        <v>0</v>
      </c>
      <c r="F9" s="5">
        <f t="shared" si="2"/>
        <v>0</v>
      </c>
      <c r="G9" s="146"/>
      <c r="H9" s="147"/>
      <c r="I9" s="148"/>
      <c r="J9" s="9"/>
      <c r="K9" s="9"/>
      <c r="L9" s="10"/>
      <c r="M9" s="7">
        <f t="shared" si="3"/>
        <v>0</v>
      </c>
      <c r="N9" s="44" t="str">
        <f t="shared" ca="1" si="4"/>
        <v/>
      </c>
      <c r="O9" s="45"/>
      <c r="P9" s="56"/>
      <c r="Q9" s="56"/>
      <c r="R9" s="56"/>
      <c r="S9" s="56"/>
      <c r="T9" s="56"/>
      <c r="U9" s="122">
        <f t="shared" si="5"/>
        <v>2</v>
      </c>
      <c r="V9" s="122">
        <f t="shared" si="6"/>
        <v>24</v>
      </c>
      <c r="W9" s="124">
        <f t="shared" si="7"/>
        <v>0</v>
      </c>
      <c r="X9" s="121"/>
    </row>
    <row r="10" spans="1:24" x14ac:dyDescent="0.2">
      <c r="A10" s="8">
        <f t="shared" si="8"/>
        <v>44715</v>
      </c>
      <c r="B10" s="9"/>
      <c r="C10" s="9"/>
      <c r="D10" s="3" t="str">
        <f t="shared" si="0"/>
        <v/>
      </c>
      <c r="E10" s="4">
        <f t="shared" si="1"/>
        <v>0</v>
      </c>
      <c r="F10" s="5">
        <f t="shared" si="2"/>
        <v>0</v>
      </c>
      <c r="G10" s="167"/>
      <c r="H10" s="168"/>
      <c r="I10" s="169"/>
      <c r="J10" s="34"/>
      <c r="K10" s="34"/>
      <c r="L10" s="35"/>
      <c r="M10" s="7">
        <f t="shared" si="3"/>
        <v>0</v>
      </c>
      <c r="N10" s="44" t="str">
        <f t="shared" ca="1" si="4"/>
        <v/>
      </c>
      <c r="O10" s="45"/>
      <c r="P10" s="56"/>
      <c r="Q10" s="56"/>
      <c r="R10" s="56"/>
      <c r="S10" s="56"/>
      <c r="T10" s="56"/>
      <c r="U10" s="122">
        <f t="shared" si="5"/>
        <v>3</v>
      </c>
      <c r="V10" s="122">
        <f t="shared" si="6"/>
        <v>32</v>
      </c>
      <c r="W10" s="124">
        <f t="shared" si="7"/>
        <v>0</v>
      </c>
      <c r="X10" s="121"/>
    </row>
    <row r="11" spans="1:24" x14ac:dyDescent="0.2">
      <c r="A11" s="8">
        <f t="shared" si="8"/>
        <v>44716</v>
      </c>
      <c r="B11" s="9"/>
      <c r="C11" s="9"/>
      <c r="D11" s="3" t="str">
        <f t="shared" si="0"/>
        <v/>
      </c>
      <c r="E11" s="4">
        <f t="shared" si="1"/>
        <v>0</v>
      </c>
      <c r="F11" s="5">
        <f t="shared" si="2"/>
        <v>0</v>
      </c>
      <c r="G11" s="146"/>
      <c r="H11" s="147"/>
      <c r="I11" s="148"/>
      <c r="J11" s="9"/>
      <c r="K11" s="9"/>
      <c r="L11" s="10"/>
      <c r="M11" s="7">
        <f t="shared" si="3"/>
        <v>0</v>
      </c>
      <c r="N11" s="44" t="str">
        <f t="shared" ca="1" si="4"/>
        <v/>
      </c>
      <c r="O11" s="45"/>
      <c r="P11" s="56"/>
      <c r="Q11" s="56"/>
      <c r="R11" s="56"/>
      <c r="S11" s="56"/>
      <c r="T11" s="56"/>
      <c r="U11" s="122">
        <f t="shared" si="5"/>
        <v>4</v>
      </c>
      <c r="V11" s="125">
        <f t="shared" si="6"/>
        <v>40</v>
      </c>
      <c r="W11" s="124">
        <f t="shared" si="7"/>
        <v>0</v>
      </c>
      <c r="X11" s="121"/>
    </row>
    <row r="12" spans="1:24" x14ac:dyDescent="0.2">
      <c r="A12" s="8">
        <f t="shared" si="8"/>
        <v>44717</v>
      </c>
      <c r="B12" s="9"/>
      <c r="C12" s="9"/>
      <c r="D12" s="3" t="str">
        <f t="shared" si="0"/>
        <v/>
      </c>
      <c r="E12" s="4">
        <f t="shared" si="1"/>
        <v>0</v>
      </c>
      <c r="F12" s="5">
        <f t="shared" si="2"/>
        <v>0</v>
      </c>
      <c r="G12" s="156" t="s">
        <v>92</v>
      </c>
      <c r="H12" s="157"/>
      <c r="I12" s="158"/>
      <c r="J12" s="3"/>
      <c r="K12" s="3"/>
      <c r="L12" s="6"/>
      <c r="M12" s="7">
        <f t="shared" si="3"/>
        <v>0</v>
      </c>
      <c r="N12" s="44" t="str">
        <f t="shared" ca="1" si="4"/>
        <v/>
      </c>
      <c r="O12" s="45"/>
      <c r="P12" s="56"/>
      <c r="Q12" s="56"/>
      <c r="R12" s="56"/>
      <c r="S12" s="56"/>
      <c r="T12" s="56"/>
      <c r="U12" s="125">
        <f t="shared" si="5"/>
        <v>5</v>
      </c>
      <c r="V12" s="122">
        <f t="shared" si="6"/>
        <v>40</v>
      </c>
      <c r="W12" s="124">
        <f t="shared" si="7"/>
        <v>0</v>
      </c>
      <c r="X12" s="121"/>
    </row>
    <row r="13" spans="1:24" x14ac:dyDescent="0.2">
      <c r="A13" s="8">
        <f t="shared" si="8"/>
        <v>44718</v>
      </c>
      <c r="B13" s="9"/>
      <c r="C13" s="9"/>
      <c r="D13" s="3" t="str">
        <f t="shared" si="0"/>
        <v/>
      </c>
      <c r="E13" s="4">
        <f t="shared" si="1"/>
        <v>0</v>
      </c>
      <c r="F13" s="5">
        <f t="shared" si="2"/>
        <v>0</v>
      </c>
      <c r="G13" s="146"/>
      <c r="H13" s="147"/>
      <c r="I13" s="148"/>
      <c r="J13" s="9"/>
      <c r="K13" s="9"/>
      <c r="L13" s="10"/>
      <c r="M13" s="7">
        <f t="shared" si="3"/>
        <v>0</v>
      </c>
      <c r="N13" s="44" t="str">
        <f t="shared" ca="1" si="4"/>
        <v/>
      </c>
      <c r="O13" s="45"/>
      <c r="P13" s="56"/>
      <c r="Q13" s="56"/>
      <c r="R13" s="56"/>
      <c r="S13" s="56"/>
      <c r="T13" s="56"/>
      <c r="U13" s="122">
        <f t="shared" si="5"/>
        <v>6</v>
      </c>
      <c r="V13" s="122">
        <f t="shared" si="6"/>
        <v>40</v>
      </c>
      <c r="W13" s="124">
        <f t="shared" si="7"/>
        <v>0</v>
      </c>
      <c r="X13" s="121"/>
    </row>
    <row r="14" spans="1:24" x14ac:dyDescent="0.2">
      <c r="A14" s="8">
        <f t="shared" si="8"/>
        <v>44719</v>
      </c>
      <c r="B14" s="9"/>
      <c r="C14" s="9"/>
      <c r="D14" s="3" t="str">
        <f t="shared" si="0"/>
        <v/>
      </c>
      <c r="E14" s="4">
        <f t="shared" si="1"/>
        <v>0</v>
      </c>
      <c r="F14" s="5">
        <f t="shared" si="2"/>
        <v>0</v>
      </c>
      <c r="G14" s="146"/>
      <c r="H14" s="147"/>
      <c r="I14" s="148"/>
      <c r="J14" s="9"/>
      <c r="K14" s="9"/>
      <c r="L14" s="10"/>
      <c r="M14" s="7">
        <f t="shared" si="3"/>
        <v>0</v>
      </c>
      <c r="N14" s="44" t="str">
        <f t="shared" ca="1" si="4"/>
        <v/>
      </c>
      <c r="O14" s="45"/>
      <c r="P14" s="56"/>
      <c r="Q14" s="56"/>
      <c r="R14" s="56"/>
      <c r="S14" s="56"/>
      <c r="T14" s="56"/>
      <c r="U14" s="122">
        <f t="shared" si="5"/>
        <v>0</v>
      </c>
      <c r="V14" s="122">
        <f t="shared" si="6"/>
        <v>48</v>
      </c>
      <c r="W14" s="124">
        <f t="shared" si="7"/>
        <v>0</v>
      </c>
      <c r="X14" s="121"/>
    </row>
    <row r="15" spans="1:24" x14ac:dyDescent="0.2">
      <c r="A15" s="8">
        <f t="shared" si="8"/>
        <v>44720</v>
      </c>
      <c r="B15" s="9"/>
      <c r="C15" s="9"/>
      <c r="D15" s="3" t="str">
        <f t="shared" si="0"/>
        <v/>
      </c>
      <c r="E15" s="4">
        <f t="shared" si="1"/>
        <v>0</v>
      </c>
      <c r="F15" s="5">
        <f t="shared" si="2"/>
        <v>0</v>
      </c>
      <c r="G15" s="146"/>
      <c r="H15" s="147"/>
      <c r="I15" s="148"/>
      <c r="J15" s="9"/>
      <c r="K15" s="9"/>
      <c r="L15" s="10"/>
      <c r="M15" s="7">
        <f t="shared" si="3"/>
        <v>0</v>
      </c>
      <c r="N15" s="44" t="str">
        <f t="shared" ca="1" si="4"/>
        <v/>
      </c>
      <c r="O15" s="45"/>
      <c r="P15" s="56"/>
      <c r="Q15" s="56"/>
      <c r="R15" s="56"/>
      <c r="S15" s="56"/>
      <c r="T15" s="56"/>
      <c r="U15" s="122">
        <f t="shared" si="5"/>
        <v>1</v>
      </c>
      <c r="V15" s="122">
        <f t="shared" si="6"/>
        <v>56</v>
      </c>
      <c r="W15" s="124">
        <f t="shared" si="7"/>
        <v>0</v>
      </c>
    </row>
    <row r="16" spans="1:24" x14ac:dyDescent="0.2">
      <c r="A16" s="8">
        <f t="shared" si="8"/>
        <v>44721</v>
      </c>
      <c r="B16" s="9"/>
      <c r="C16" s="9"/>
      <c r="D16" s="3" t="str">
        <f t="shared" si="0"/>
        <v/>
      </c>
      <c r="E16" s="4">
        <f t="shared" si="1"/>
        <v>0</v>
      </c>
      <c r="F16" s="5">
        <f t="shared" si="2"/>
        <v>0</v>
      </c>
      <c r="G16" s="146"/>
      <c r="H16" s="147"/>
      <c r="I16" s="148"/>
      <c r="J16" s="9"/>
      <c r="K16" s="9"/>
      <c r="L16" s="10"/>
      <c r="M16" s="7">
        <f t="shared" si="3"/>
        <v>0</v>
      </c>
      <c r="N16" s="44" t="str">
        <f t="shared" ca="1" si="4"/>
        <v/>
      </c>
      <c r="O16" s="45"/>
      <c r="P16" s="56"/>
      <c r="Q16" s="56"/>
      <c r="R16" s="56"/>
      <c r="S16" s="56"/>
      <c r="T16" s="56"/>
      <c r="U16" s="122">
        <f t="shared" si="5"/>
        <v>2</v>
      </c>
      <c r="V16" s="122">
        <f t="shared" si="6"/>
        <v>64</v>
      </c>
      <c r="W16" s="124">
        <f t="shared" si="7"/>
        <v>0</v>
      </c>
    </row>
    <row r="17" spans="1:23" x14ac:dyDescent="0.2">
      <c r="A17" s="8">
        <f t="shared" si="8"/>
        <v>44722</v>
      </c>
      <c r="B17" s="9"/>
      <c r="C17" s="9"/>
      <c r="D17" s="3" t="str">
        <f t="shared" si="0"/>
        <v/>
      </c>
      <c r="E17" s="4">
        <f t="shared" si="1"/>
        <v>0</v>
      </c>
      <c r="F17" s="5">
        <f t="shared" si="2"/>
        <v>0</v>
      </c>
      <c r="G17" s="146"/>
      <c r="H17" s="147"/>
      <c r="I17" s="148"/>
      <c r="J17" s="9"/>
      <c r="K17" s="9"/>
      <c r="L17" s="10"/>
      <c r="M17" s="7">
        <f t="shared" si="3"/>
        <v>0</v>
      </c>
      <c r="N17" s="44" t="str">
        <f t="shared" ca="1" si="4"/>
        <v/>
      </c>
      <c r="O17" s="45"/>
      <c r="P17" s="56"/>
      <c r="Q17" s="56"/>
      <c r="R17" s="56"/>
      <c r="S17" s="56"/>
      <c r="T17" s="56"/>
      <c r="U17" s="122">
        <f t="shared" si="5"/>
        <v>3</v>
      </c>
      <c r="V17" s="122">
        <f t="shared" si="6"/>
        <v>72</v>
      </c>
      <c r="W17" s="124">
        <f t="shared" si="7"/>
        <v>0</v>
      </c>
    </row>
    <row r="18" spans="1:23" x14ac:dyDescent="0.2">
      <c r="A18" s="8">
        <f t="shared" si="8"/>
        <v>44723</v>
      </c>
      <c r="B18" s="9"/>
      <c r="C18" s="9"/>
      <c r="D18" s="3" t="str">
        <f t="shared" si="0"/>
        <v/>
      </c>
      <c r="E18" s="4">
        <f t="shared" si="1"/>
        <v>0</v>
      </c>
      <c r="F18" s="5">
        <f t="shared" si="2"/>
        <v>0</v>
      </c>
      <c r="G18" s="146"/>
      <c r="H18" s="147"/>
      <c r="I18" s="148"/>
      <c r="J18" s="9"/>
      <c r="K18" s="9"/>
      <c r="L18" s="10"/>
      <c r="M18" s="7">
        <f t="shared" si="3"/>
        <v>0</v>
      </c>
      <c r="N18" s="44" t="str">
        <f t="shared" ca="1" si="4"/>
        <v/>
      </c>
      <c r="O18" s="45"/>
      <c r="P18" s="56"/>
      <c r="Q18" s="56"/>
      <c r="R18" s="56"/>
      <c r="S18" s="56"/>
      <c r="T18" s="56"/>
      <c r="U18" s="122">
        <f t="shared" si="5"/>
        <v>4</v>
      </c>
      <c r="V18" s="122">
        <f t="shared" si="6"/>
        <v>80</v>
      </c>
      <c r="W18" s="124">
        <f t="shared" si="7"/>
        <v>0</v>
      </c>
    </row>
    <row r="19" spans="1:23" x14ac:dyDescent="0.2">
      <c r="A19" s="8">
        <f t="shared" si="8"/>
        <v>44724</v>
      </c>
      <c r="B19" s="9"/>
      <c r="C19" s="9"/>
      <c r="D19" s="3" t="str">
        <f t="shared" si="0"/>
        <v/>
      </c>
      <c r="E19" s="4">
        <f t="shared" si="1"/>
        <v>0</v>
      </c>
      <c r="F19" s="5">
        <f t="shared" si="2"/>
        <v>0</v>
      </c>
      <c r="G19" s="146"/>
      <c r="H19" s="147"/>
      <c r="I19" s="148"/>
      <c r="J19" s="9"/>
      <c r="K19" s="9"/>
      <c r="L19" s="10"/>
      <c r="M19" s="7">
        <f t="shared" si="3"/>
        <v>0</v>
      </c>
      <c r="N19" s="44" t="str">
        <f t="shared" ca="1" si="4"/>
        <v/>
      </c>
      <c r="O19" s="45"/>
      <c r="P19" s="56"/>
      <c r="Q19" s="56"/>
      <c r="R19" s="56"/>
      <c r="S19" s="56"/>
      <c r="T19" s="56"/>
      <c r="U19" s="122">
        <f t="shared" si="5"/>
        <v>5</v>
      </c>
      <c r="V19" s="122">
        <f t="shared" si="6"/>
        <v>80</v>
      </c>
      <c r="W19" s="124">
        <f t="shared" si="7"/>
        <v>0</v>
      </c>
    </row>
    <row r="20" spans="1:23" x14ac:dyDescent="0.2">
      <c r="A20" s="8">
        <f t="shared" si="8"/>
        <v>44725</v>
      </c>
      <c r="B20" s="9"/>
      <c r="C20" s="144"/>
      <c r="D20" s="3" t="str">
        <f t="shared" si="0"/>
        <v/>
      </c>
      <c r="E20" s="4">
        <f t="shared" si="1"/>
        <v>0</v>
      </c>
      <c r="F20" s="5">
        <f t="shared" si="2"/>
        <v>0</v>
      </c>
      <c r="G20" s="146"/>
      <c r="H20" s="147"/>
      <c r="I20" s="148"/>
      <c r="J20" s="9"/>
      <c r="K20" s="9"/>
      <c r="L20" s="10"/>
      <c r="M20" s="7">
        <f t="shared" si="3"/>
        <v>0</v>
      </c>
      <c r="N20" s="44" t="str">
        <f t="shared" ca="1" si="4"/>
        <v/>
      </c>
      <c r="O20" s="45"/>
      <c r="P20" s="56"/>
      <c r="Q20" s="56"/>
      <c r="R20" s="56"/>
      <c r="S20" s="56"/>
      <c r="T20" s="56"/>
      <c r="U20" s="122">
        <f t="shared" si="5"/>
        <v>6</v>
      </c>
      <c r="V20" s="122">
        <f t="shared" si="6"/>
        <v>80</v>
      </c>
      <c r="W20" s="124">
        <f t="shared" si="7"/>
        <v>0</v>
      </c>
    </row>
    <row r="21" spans="1:23" x14ac:dyDescent="0.2">
      <c r="A21" s="8">
        <f t="shared" si="8"/>
        <v>44726</v>
      </c>
      <c r="B21" s="9"/>
      <c r="C21" s="9"/>
      <c r="D21" s="3" t="str">
        <f t="shared" si="0"/>
        <v/>
      </c>
      <c r="E21" s="4">
        <f t="shared" si="1"/>
        <v>0</v>
      </c>
      <c r="F21" s="5">
        <f t="shared" si="2"/>
        <v>0</v>
      </c>
      <c r="G21" s="146"/>
      <c r="H21" s="147"/>
      <c r="I21" s="148"/>
      <c r="J21" s="9"/>
      <c r="K21" s="9"/>
      <c r="L21" s="10"/>
      <c r="M21" s="7">
        <f t="shared" si="3"/>
        <v>0</v>
      </c>
      <c r="N21" s="44" t="str">
        <f t="shared" ca="1" si="4"/>
        <v/>
      </c>
      <c r="O21" s="45"/>
      <c r="P21" s="56"/>
      <c r="Q21" s="56"/>
      <c r="R21" s="56"/>
      <c r="S21" s="56"/>
      <c r="T21" s="56"/>
      <c r="U21" s="122">
        <f t="shared" si="5"/>
        <v>0</v>
      </c>
      <c r="V21" s="122">
        <f t="shared" si="6"/>
        <v>88</v>
      </c>
      <c r="W21" s="124">
        <f t="shared" si="7"/>
        <v>0</v>
      </c>
    </row>
    <row r="22" spans="1:23" x14ac:dyDescent="0.2">
      <c r="A22" s="8">
        <f t="shared" si="8"/>
        <v>44727</v>
      </c>
      <c r="B22" s="9"/>
      <c r="C22" s="144"/>
      <c r="D22" s="3" t="str">
        <f t="shared" si="0"/>
        <v/>
      </c>
      <c r="E22" s="4">
        <f t="shared" si="1"/>
        <v>0</v>
      </c>
      <c r="F22" s="5">
        <f t="shared" si="2"/>
        <v>0</v>
      </c>
      <c r="G22" s="146"/>
      <c r="H22" s="147"/>
      <c r="I22" s="148"/>
      <c r="J22" s="9"/>
      <c r="K22" s="9"/>
      <c r="L22" s="10"/>
      <c r="M22" s="7">
        <f t="shared" si="3"/>
        <v>0</v>
      </c>
      <c r="N22" s="44" t="str">
        <f t="shared" ca="1" si="4"/>
        <v/>
      </c>
      <c r="O22" s="45"/>
      <c r="P22" s="56"/>
      <c r="Q22" s="56"/>
      <c r="R22" s="56"/>
      <c r="S22" s="56"/>
      <c r="T22" s="56"/>
      <c r="U22" s="122">
        <f t="shared" si="5"/>
        <v>1</v>
      </c>
      <c r="V22" s="122">
        <f t="shared" si="6"/>
        <v>96</v>
      </c>
      <c r="W22" s="124">
        <f t="shared" si="7"/>
        <v>0</v>
      </c>
    </row>
    <row r="23" spans="1:23" x14ac:dyDescent="0.2">
      <c r="A23" s="8">
        <f t="shared" si="8"/>
        <v>44728</v>
      </c>
      <c r="B23" s="9"/>
      <c r="C23" s="9"/>
      <c r="D23" s="3" t="str">
        <f t="shared" si="0"/>
        <v/>
      </c>
      <c r="E23" s="4">
        <f t="shared" si="1"/>
        <v>0</v>
      </c>
      <c r="F23" s="5">
        <f t="shared" si="2"/>
        <v>0</v>
      </c>
      <c r="G23" s="146"/>
      <c r="H23" s="147"/>
      <c r="I23" s="148"/>
      <c r="J23" s="9"/>
      <c r="K23" s="9"/>
      <c r="L23" s="10"/>
      <c r="M23" s="7">
        <f t="shared" si="3"/>
        <v>0</v>
      </c>
      <c r="N23" s="44" t="str">
        <f t="shared" ca="1" si="4"/>
        <v/>
      </c>
      <c r="O23" s="45"/>
      <c r="P23" s="56"/>
      <c r="Q23" s="56"/>
      <c r="R23" s="56"/>
      <c r="S23" s="56"/>
      <c r="T23" s="56"/>
      <c r="U23" s="122">
        <f t="shared" si="5"/>
        <v>2</v>
      </c>
      <c r="V23" s="122">
        <f t="shared" si="6"/>
        <v>104</v>
      </c>
      <c r="W23" s="124">
        <f t="shared" si="7"/>
        <v>0</v>
      </c>
    </row>
    <row r="24" spans="1:23" x14ac:dyDescent="0.2">
      <c r="A24" s="8">
        <f t="shared" si="8"/>
        <v>44729</v>
      </c>
      <c r="B24" s="9"/>
      <c r="C24" s="9"/>
      <c r="D24" s="3" t="str">
        <f t="shared" si="0"/>
        <v/>
      </c>
      <c r="E24" s="4">
        <f t="shared" si="1"/>
        <v>0</v>
      </c>
      <c r="F24" s="5">
        <f t="shared" si="2"/>
        <v>0</v>
      </c>
      <c r="G24" s="146"/>
      <c r="H24" s="147"/>
      <c r="I24" s="148"/>
      <c r="J24" s="9"/>
      <c r="K24" s="9"/>
      <c r="L24" s="10"/>
      <c r="M24" s="7">
        <f t="shared" si="3"/>
        <v>0</v>
      </c>
      <c r="N24" s="44" t="str">
        <f t="shared" ca="1" si="4"/>
        <v/>
      </c>
      <c r="O24" s="45"/>
      <c r="P24" s="56"/>
      <c r="Q24" s="56"/>
      <c r="R24" s="56"/>
      <c r="S24" s="56"/>
      <c r="T24" s="56"/>
      <c r="U24" s="122">
        <f t="shared" si="5"/>
        <v>3</v>
      </c>
      <c r="V24" s="122">
        <f t="shared" si="6"/>
        <v>112</v>
      </c>
      <c r="W24" s="124">
        <f t="shared" si="7"/>
        <v>0</v>
      </c>
    </row>
    <row r="25" spans="1:23" x14ac:dyDescent="0.2">
      <c r="A25" s="8">
        <f t="shared" si="8"/>
        <v>44730</v>
      </c>
      <c r="B25" s="9"/>
      <c r="C25" s="9"/>
      <c r="D25" s="3" t="str">
        <f t="shared" si="0"/>
        <v/>
      </c>
      <c r="E25" s="4">
        <f t="shared" si="1"/>
        <v>0</v>
      </c>
      <c r="F25" s="5">
        <f t="shared" si="2"/>
        <v>0</v>
      </c>
      <c r="G25" s="146" t="s">
        <v>93</v>
      </c>
      <c r="H25" s="147"/>
      <c r="I25" s="148"/>
      <c r="J25" s="9"/>
      <c r="K25" s="9"/>
      <c r="L25" s="10"/>
      <c r="M25" s="7">
        <f t="shared" si="3"/>
        <v>0</v>
      </c>
      <c r="N25" s="44" t="str">
        <f t="shared" ca="1" si="4"/>
        <v/>
      </c>
      <c r="O25" s="45"/>
      <c r="P25" s="56"/>
      <c r="Q25" s="56"/>
      <c r="R25" s="56"/>
      <c r="S25" s="56"/>
      <c r="T25" s="56"/>
      <c r="U25" s="122">
        <v>8</v>
      </c>
      <c r="V25" s="122">
        <f t="shared" si="6"/>
        <v>112</v>
      </c>
      <c r="W25" s="124">
        <f t="shared" si="7"/>
        <v>0</v>
      </c>
    </row>
    <row r="26" spans="1:23" x14ac:dyDescent="0.2">
      <c r="A26" s="8">
        <f t="shared" si="8"/>
        <v>44731</v>
      </c>
      <c r="B26" s="9"/>
      <c r="C26" s="9"/>
      <c r="D26" s="3" t="str">
        <f t="shared" si="0"/>
        <v/>
      </c>
      <c r="E26" s="4">
        <f t="shared" si="1"/>
        <v>0</v>
      </c>
      <c r="F26" s="5">
        <f t="shared" si="2"/>
        <v>0</v>
      </c>
      <c r="G26" s="146" t="s">
        <v>94</v>
      </c>
      <c r="H26" s="147"/>
      <c r="I26" s="148"/>
      <c r="J26" s="9"/>
      <c r="K26" s="9"/>
      <c r="L26" s="10"/>
      <c r="M26" s="7">
        <f t="shared" si="3"/>
        <v>0</v>
      </c>
      <c r="N26" s="44" t="str">
        <f t="shared" ca="1" si="4"/>
        <v/>
      </c>
      <c r="O26" s="45"/>
      <c r="P26" s="56"/>
      <c r="Q26" s="56"/>
      <c r="R26" s="56"/>
      <c r="S26" s="56"/>
      <c r="T26" s="56"/>
      <c r="U26" s="122">
        <f t="shared" ref="U26:U36" si="9">IF(A26="",0,WEEKDAY(A26,3))</f>
        <v>5</v>
      </c>
      <c r="V26" s="122">
        <f t="shared" si="6"/>
        <v>112</v>
      </c>
      <c r="W26" s="124">
        <f t="shared" si="7"/>
        <v>0</v>
      </c>
    </row>
    <row r="27" spans="1:23" x14ac:dyDescent="0.2">
      <c r="A27" s="8">
        <f t="shared" si="8"/>
        <v>44732</v>
      </c>
      <c r="B27" s="9"/>
      <c r="C27" s="9"/>
      <c r="D27" s="3" t="str">
        <f t="shared" si="0"/>
        <v/>
      </c>
      <c r="E27" s="4">
        <f t="shared" si="1"/>
        <v>0</v>
      </c>
      <c r="F27" s="5">
        <f t="shared" si="2"/>
        <v>0</v>
      </c>
      <c r="G27" s="146"/>
      <c r="H27" s="147"/>
      <c r="I27" s="148"/>
      <c r="J27" s="9"/>
      <c r="K27" s="9"/>
      <c r="L27" s="10"/>
      <c r="M27" s="7">
        <f t="shared" si="3"/>
        <v>0</v>
      </c>
      <c r="N27" s="44" t="str">
        <f t="shared" ca="1" si="4"/>
        <v/>
      </c>
      <c r="O27" s="45"/>
      <c r="P27" s="56"/>
      <c r="Q27" s="56"/>
      <c r="R27" s="56"/>
      <c r="S27" s="56"/>
      <c r="T27" s="56"/>
      <c r="U27" s="122">
        <f t="shared" si="9"/>
        <v>6</v>
      </c>
      <c r="V27" s="122">
        <f t="shared" si="6"/>
        <v>112</v>
      </c>
      <c r="W27" s="124">
        <f t="shared" si="7"/>
        <v>0</v>
      </c>
    </row>
    <row r="28" spans="1:23" x14ac:dyDescent="0.2">
      <c r="A28" s="8">
        <f t="shared" si="8"/>
        <v>44733</v>
      </c>
      <c r="B28" s="9"/>
      <c r="C28" s="9"/>
      <c r="D28" s="3" t="str">
        <f t="shared" si="0"/>
        <v/>
      </c>
      <c r="E28" s="4">
        <f t="shared" si="1"/>
        <v>0</v>
      </c>
      <c r="F28" s="5">
        <f t="shared" si="2"/>
        <v>0</v>
      </c>
      <c r="G28" s="146"/>
      <c r="H28" s="147"/>
      <c r="I28" s="148"/>
      <c r="J28" s="9"/>
      <c r="K28" s="9"/>
      <c r="L28" s="10"/>
      <c r="M28" s="7">
        <f t="shared" si="3"/>
        <v>0</v>
      </c>
      <c r="N28" s="44" t="str">
        <f t="shared" ca="1" si="4"/>
        <v/>
      </c>
      <c r="O28" s="45"/>
      <c r="P28" s="56"/>
      <c r="Q28" s="56"/>
      <c r="R28" s="56"/>
      <c r="S28" s="56"/>
      <c r="T28" s="56"/>
      <c r="U28" s="122">
        <f t="shared" si="9"/>
        <v>0</v>
      </c>
      <c r="V28" s="122">
        <f t="shared" si="6"/>
        <v>120</v>
      </c>
      <c r="W28" s="124">
        <f t="shared" si="7"/>
        <v>0</v>
      </c>
    </row>
    <row r="29" spans="1:23" x14ac:dyDescent="0.2">
      <c r="A29" s="8">
        <f t="shared" si="8"/>
        <v>44734</v>
      </c>
      <c r="B29" s="9"/>
      <c r="C29" s="9"/>
      <c r="D29" s="3" t="str">
        <f t="shared" si="0"/>
        <v/>
      </c>
      <c r="E29" s="4">
        <f t="shared" si="1"/>
        <v>0</v>
      </c>
      <c r="F29" s="5">
        <f t="shared" si="2"/>
        <v>0</v>
      </c>
      <c r="G29" s="146"/>
      <c r="H29" s="147"/>
      <c r="I29" s="148"/>
      <c r="J29" s="9"/>
      <c r="K29" s="9"/>
      <c r="L29" s="10"/>
      <c r="M29" s="7">
        <f t="shared" si="3"/>
        <v>0</v>
      </c>
      <c r="N29" s="44" t="str">
        <f t="shared" ca="1" si="4"/>
        <v/>
      </c>
      <c r="O29" s="45"/>
      <c r="P29" s="56"/>
      <c r="Q29" s="56"/>
      <c r="R29" s="56"/>
      <c r="S29" s="56"/>
      <c r="T29" s="56"/>
      <c r="U29" s="122">
        <f t="shared" si="9"/>
        <v>1</v>
      </c>
      <c r="V29" s="122">
        <f t="shared" si="6"/>
        <v>128</v>
      </c>
      <c r="W29" s="124">
        <f t="shared" si="7"/>
        <v>0</v>
      </c>
    </row>
    <row r="30" spans="1:23" x14ac:dyDescent="0.2">
      <c r="A30" s="8">
        <f t="shared" si="8"/>
        <v>44735</v>
      </c>
      <c r="B30" s="9"/>
      <c r="C30" s="9"/>
      <c r="D30" s="3" t="str">
        <f t="shared" si="0"/>
        <v/>
      </c>
      <c r="E30" s="4">
        <f t="shared" si="1"/>
        <v>0</v>
      </c>
      <c r="F30" s="5">
        <f t="shared" si="2"/>
        <v>0</v>
      </c>
      <c r="G30" s="146"/>
      <c r="H30" s="147"/>
      <c r="I30" s="148"/>
      <c r="J30" s="9"/>
      <c r="K30" s="9"/>
      <c r="L30" s="10"/>
      <c r="M30" s="7">
        <f t="shared" si="3"/>
        <v>0</v>
      </c>
      <c r="N30" s="44" t="str">
        <f t="shared" ca="1" si="4"/>
        <v/>
      </c>
      <c r="O30" s="45"/>
      <c r="P30" s="56"/>
      <c r="Q30" s="56"/>
      <c r="R30" s="56"/>
      <c r="S30" s="56"/>
      <c r="T30" s="56"/>
      <c r="U30" s="122">
        <f t="shared" si="9"/>
        <v>2</v>
      </c>
      <c r="V30" s="122">
        <f t="shared" si="6"/>
        <v>136</v>
      </c>
      <c r="W30" s="124">
        <f t="shared" si="7"/>
        <v>0</v>
      </c>
    </row>
    <row r="31" spans="1:23" x14ac:dyDescent="0.2">
      <c r="A31" s="8">
        <f t="shared" si="8"/>
        <v>44736</v>
      </c>
      <c r="B31" s="9"/>
      <c r="C31" s="9"/>
      <c r="D31" s="3" t="str">
        <f t="shared" si="0"/>
        <v/>
      </c>
      <c r="E31" s="4">
        <f t="shared" si="1"/>
        <v>0</v>
      </c>
      <c r="F31" s="5">
        <f t="shared" si="2"/>
        <v>0</v>
      </c>
      <c r="G31" s="146"/>
      <c r="H31" s="147"/>
      <c r="I31" s="148"/>
      <c r="J31" s="9"/>
      <c r="K31" s="9"/>
      <c r="L31" s="10"/>
      <c r="M31" s="7">
        <f t="shared" si="3"/>
        <v>0</v>
      </c>
      <c r="N31" s="44" t="str">
        <f t="shared" ca="1" si="4"/>
        <v/>
      </c>
      <c r="O31" s="45"/>
      <c r="P31" s="56"/>
      <c r="Q31" s="56"/>
      <c r="R31" s="56"/>
      <c r="S31" s="56"/>
      <c r="T31" s="56"/>
      <c r="U31" s="122">
        <f t="shared" si="9"/>
        <v>3</v>
      </c>
      <c r="V31" s="122">
        <f t="shared" si="6"/>
        <v>144</v>
      </c>
      <c r="W31" s="124">
        <f t="shared" si="7"/>
        <v>0</v>
      </c>
    </row>
    <row r="32" spans="1:23" x14ac:dyDescent="0.2">
      <c r="A32" s="8">
        <f t="shared" si="8"/>
        <v>44737</v>
      </c>
      <c r="B32" s="9"/>
      <c r="C32" s="9"/>
      <c r="D32" s="3" t="str">
        <f t="shared" si="0"/>
        <v/>
      </c>
      <c r="E32" s="4">
        <f t="shared" si="1"/>
        <v>0</v>
      </c>
      <c r="F32" s="5">
        <f t="shared" si="2"/>
        <v>0</v>
      </c>
      <c r="G32" s="146"/>
      <c r="H32" s="147"/>
      <c r="I32" s="148"/>
      <c r="J32" s="9"/>
      <c r="K32" s="9"/>
      <c r="L32" s="10"/>
      <c r="M32" s="7">
        <f t="shared" si="3"/>
        <v>0</v>
      </c>
      <c r="N32" s="44" t="str">
        <f t="shared" ca="1" si="4"/>
        <v/>
      </c>
      <c r="O32" s="45"/>
      <c r="P32" s="56"/>
      <c r="Q32" s="56"/>
      <c r="R32" s="56"/>
      <c r="S32" s="56"/>
      <c r="T32" s="56"/>
      <c r="U32" s="122">
        <f t="shared" si="9"/>
        <v>4</v>
      </c>
      <c r="V32" s="122">
        <f t="shared" si="6"/>
        <v>152</v>
      </c>
      <c r="W32" s="124">
        <f t="shared" si="7"/>
        <v>0</v>
      </c>
    </row>
    <row r="33" spans="1:23" x14ac:dyDescent="0.2">
      <c r="A33" s="8">
        <f t="shared" si="8"/>
        <v>44738</v>
      </c>
      <c r="B33" s="9"/>
      <c r="C33" s="9"/>
      <c r="D33" s="3" t="str">
        <f t="shared" si="0"/>
        <v/>
      </c>
      <c r="E33" s="4">
        <f t="shared" si="1"/>
        <v>0</v>
      </c>
      <c r="F33" s="5">
        <f t="shared" si="2"/>
        <v>0</v>
      </c>
      <c r="G33" s="146"/>
      <c r="H33" s="147"/>
      <c r="I33" s="148"/>
      <c r="J33" s="9"/>
      <c r="K33" s="9"/>
      <c r="L33" s="10"/>
      <c r="M33" s="7">
        <f t="shared" si="3"/>
        <v>0</v>
      </c>
      <c r="N33" s="44" t="str">
        <f t="shared" ca="1" si="4"/>
        <v/>
      </c>
      <c r="O33" s="45"/>
      <c r="P33" s="56"/>
      <c r="Q33" s="56"/>
      <c r="R33" s="56"/>
      <c r="S33" s="56"/>
      <c r="T33" s="56"/>
      <c r="U33" s="122">
        <f t="shared" si="9"/>
        <v>5</v>
      </c>
      <c r="V33" s="122">
        <f t="shared" si="6"/>
        <v>152</v>
      </c>
      <c r="W33" s="124">
        <f t="shared" si="7"/>
        <v>0</v>
      </c>
    </row>
    <row r="34" spans="1:23" x14ac:dyDescent="0.2">
      <c r="A34" s="8">
        <f t="shared" si="8"/>
        <v>44739</v>
      </c>
      <c r="B34" s="9"/>
      <c r="C34" s="9"/>
      <c r="D34" s="3" t="str">
        <f t="shared" si="0"/>
        <v/>
      </c>
      <c r="E34" s="4">
        <f t="shared" si="1"/>
        <v>0</v>
      </c>
      <c r="F34" s="5">
        <f t="shared" si="2"/>
        <v>0</v>
      </c>
      <c r="G34" s="146"/>
      <c r="H34" s="147"/>
      <c r="I34" s="148"/>
      <c r="J34" s="9"/>
      <c r="K34" s="9"/>
      <c r="L34" s="10"/>
      <c r="M34" s="7">
        <f t="shared" si="3"/>
        <v>0</v>
      </c>
      <c r="N34" s="44" t="str">
        <f t="shared" ca="1" si="4"/>
        <v/>
      </c>
      <c r="O34" s="45"/>
      <c r="P34" s="56"/>
      <c r="Q34" s="56"/>
      <c r="R34" s="56"/>
      <c r="S34" s="56"/>
      <c r="T34" s="56"/>
      <c r="U34" s="122">
        <f t="shared" si="9"/>
        <v>6</v>
      </c>
      <c r="V34" s="122">
        <f t="shared" si="6"/>
        <v>152</v>
      </c>
      <c r="W34" s="124">
        <f t="shared" si="7"/>
        <v>0</v>
      </c>
    </row>
    <row r="35" spans="1:23" x14ac:dyDescent="0.2">
      <c r="A35" s="8">
        <f t="shared" si="8"/>
        <v>44740</v>
      </c>
      <c r="B35" s="9"/>
      <c r="C35" s="9"/>
      <c r="D35" s="3" t="str">
        <f t="shared" si="0"/>
        <v/>
      </c>
      <c r="E35" s="4">
        <f t="shared" si="1"/>
        <v>0</v>
      </c>
      <c r="F35" s="5">
        <f t="shared" si="2"/>
        <v>0</v>
      </c>
      <c r="G35" s="146"/>
      <c r="H35" s="147"/>
      <c r="I35" s="148"/>
      <c r="J35" s="9"/>
      <c r="K35" s="9"/>
      <c r="L35" s="10"/>
      <c r="M35" s="7">
        <f t="shared" si="3"/>
        <v>0</v>
      </c>
      <c r="N35" s="44" t="str">
        <f t="shared" ca="1" si="4"/>
        <v/>
      </c>
      <c r="O35" s="45"/>
      <c r="P35" s="56"/>
      <c r="Q35" s="56"/>
      <c r="R35" s="56"/>
      <c r="S35" s="56"/>
      <c r="T35" s="56"/>
      <c r="U35" s="122">
        <f t="shared" si="9"/>
        <v>0</v>
      </c>
      <c r="V35" s="122">
        <f t="shared" si="6"/>
        <v>160</v>
      </c>
      <c r="W35" s="124">
        <f t="shared" si="7"/>
        <v>0</v>
      </c>
    </row>
    <row r="36" spans="1:23" x14ac:dyDescent="0.2">
      <c r="A36" s="8">
        <f t="shared" si="8"/>
        <v>44741</v>
      </c>
      <c r="B36" s="9"/>
      <c r="C36" s="9"/>
      <c r="D36" s="3" t="str">
        <f t="shared" si="0"/>
        <v/>
      </c>
      <c r="E36" s="4">
        <f t="shared" si="1"/>
        <v>0</v>
      </c>
      <c r="F36" s="5">
        <f t="shared" si="2"/>
        <v>0</v>
      </c>
      <c r="G36" s="146"/>
      <c r="H36" s="147"/>
      <c r="I36" s="148"/>
      <c r="J36" s="9"/>
      <c r="K36" s="9"/>
      <c r="L36" s="10"/>
      <c r="M36" s="7">
        <f t="shared" si="3"/>
        <v>0</v>
      </c>
      <c r="N36" s="44" t="str">
        <f t="shared" ca="1" si="4"/>
        <v/>
      </c>
      <c r="O36" s="45"/>
      <c r="P36" s="56"/>
      <c r="Q36" s="56"/>
      <c r="R36" s="56"/>
      <c r="S36" s="56"/>
      <c r="T36" s="56"/>
      <c r="U36" s="122">
        <f t="shared" si="9"/>
        <v>1</v>
      </c>
      <c r="V36" s="122">
        <f t="shared" si="6"/>
        <v>168</v>
      </c>
      <c r="W36" s="124">
        <f t="shared" si="7"/>
        <v>0</v>
      </c>
    </row>
    <row r="37" spans="1:23" x14ac:dyDescent="0.2">
      <c r="A37" s="8"/>
      <c r="B37" s="9"/>
      <c r="C37" s="9"/>
      <c r="D37" s="3"/>
      <c r="E37" s="4"/>
      <c r="F37" s="5"/>
      <c r="G37" s="146"/>
      <c r="H37" s="147"/>
      <c r="I37" s="148"/>
      <c r="J37" s="9"/>
      <c r="K37" s="9"/>
      <c r="L37" s="10"/>
      <c r="M37" s="7"/>
      <c r="N37" s="44"/>
      <c r="O37" s="45"/>
      <c r="P37" s="56"/>
      <c r="Q37" s="56"/>
      <c r="R37" s="56"/>
      <c r="S37" s="56"/>
      <c r="T37" s="56"/>
      <c r="W37" s="124"/>
    </row>
    <row r="38" spans="1:23" x14ac:dyDescent="0.2">
      <c r="A38" s="12"/>
      <c r="G38" s="54"/>
      <c r="H38" s="54"/>
      <c r="I38" s="54"/>
      <c r="J38" s="55"/>
      <c r="K38" s="55"/>
      <c r="L38" s="54"/>
      <c r="P38" s="57">
        <f>SUM(P7:P37)</f>
        <v>0</v>
      </c>
      <c r="Q38" s="57">
        <f>SUM(Q7:Q37)</f>
        <v>0</v>
      </c>
      <c r="R38" s="57">
        <f>SUM(R7:R37)</f>
        <v>0</v>
      </c>
      <c r="S38" s="57">
        <f>SUM(S7:S37)</f>
        <v>0</v>
      </c>
      <c r="T38" s="57">
        <f>SUM(T7:T37)</f>
        <v>0</v>
      </c>
    </row>
    <row r="40" spans="1:23" x14ac:dyDescent="0.2">
      <c r="A40" s="13" t="str">
        <f>Blankettinfo</f>
        <v>Version 4.6 © LiU 2025-12-03</v>
      </c>
    </row>
  </sheetData>
  <mergeCells count="35">
    <mergeCell ref="G36:I36"/>
    <mergeCell ref="G27:I27"/>
    <mergeCell ref="G23:I23"/>
    <mergeCell ref="G8:I8"/>
    <mergeCell ref="G17:I17"/>
    <mergeCell ref="G37:I37"/>
    <mergeCell ref="G18:I18"/>
    <mergeCell ref="G34:I34"/>
    <mergeCell ref="G30:I30"/>
    <mergeCell ref="G15:I15"/>
    <mergeCell ref="G33:I33"/>
    <mergeCell ref="G24:I24"/>
    <mergeCell ref="G35:I35"/>
    <mergeCell ref="G20:I20"/>
    <mergeCell ref="G26:I26"/>
    <mergeCell ref="G29:I29"/>
    <mergeCell ref="G25:I25"/>
    <mergeCell ref="G16:I16"/>
    <mergeCell ref="G32:I32"/>
    <mergeCell ref="G22:I22"/>
    <mergeCell ref="G31:I31"/>
    <mergeCell ref="G10:I10"/>
    <mergeCell ref="G28:I28"/>
    <mergeCell ref="G19:I19"/>
    <mergeCell ref="G13:I13"/>
    <mergeCell ref="B1:D1"/>
    <mergeCell ref="G14:I14"/>
    <mergeCell ref="G9:I9"/>
    <mergeCell ref="G12:I12"/>
    <mergeCell ref="G21:I21"/>
    <mergeCell ref="G11:I11"/>
    <mergeCell ref="B3:D3"/>
    <mergeCell ref="G7:I7"/>
    <mergeCell ref="B4:C4"/>
    <mergeCell ref="B2:D2"/>
  </mergeCells>
  <conditionalFormatting sqref="A7:M37">
    <cfRule type="expression" dxfId="20" priority="1" stopIfTrue="1">
      <formula>$U7&gt;4</formula>
    </cfRule>
  </conditionalFormatting>
  <conditionalFormatting sqref="N7:N37">
    <cfRule type="cellIs" dxfId="19" priority="2" stopIfTrue="1" operator="greaterThanOrEqual">
      <formula>0</formula>
    </cfRule>
    <cfRule type="cellIs" dxfId="18" priority="3" stopIfTrue="1" operator="lessThan">
      <formula>0</formula>
    </cfRule>
  </conditionalFormatting>
  <dataValidations count="3">
    <dataValidation type="list" allowBlank="1" showInputMessage="1" showErrorMessage="1" sqref="L7:L37" xr:uid="{00000000-0002-0000-0800-000000000000}">
      <formula1>"+,-"</formula1>
    </dataValidation>
    <dataValidation type="time" allowBlank="1" showInputMessage="1" showErrorMessage="1" errorTitle="Fel tidsformat" error="Ange tid som timmar och minuter med kolon som skiljetecken - till exempel 9:30 för klockan halv tio på förmiddagen." sqref="B7:C37 J7:K37" xr:uid="{00000000-0002-0000-0800-000001000000}">
      <formula1>0</formula1>
      <formula2>0.999988425925926</formula2>
    </dataValidation>
    <dataValidation type="time" allowBlank="1" showInputMessage="1" showErrorMessage="1" errorTitle="Fel tidsformat" error="Lunchen måste vara minst 30 minuter - tiden anges med timmar och minuter, till exempel 0:45 för trekvarts timmes lunch." promptTitle="Lunchrast" prompt="Lunchen anges som 30 minuter när &quot;Slutar&quot;-tiden fyllts i. Ändra manuellt om lunchen är längre än 30 minuter." sqref="D7:D37" xr:uid="{00000000-0002-0000-0800-000002000000}">
      <formula1>0.0208217592592593</formula1>
      <formula2>0.333333333333333</formula2>
    </dataValidation>
  </dataValidations>
  <pageMargins left="0.74803149606299213" right="0.74803149606299213" top="0.98425196850393704" bottom="0.98425196850393704" header="0.51181102362204722" footer="0.51181102362204722"/>
  <pageSetup paperSize="9" scale="64" orientation="landscape"/>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Blad7">
    <pageSetUpPr fitToPage="1"/>
  </sheetPr>
  <dimension ref="A1:Y40"/>
  <sheetViews>
    <sheetView workbookViewId="0"/>
  </sheetViews>
  <sheetFormatPr baseColWidth="10" defaultColWidth="9.140625" defaultRowHeight="15" x14ac:dyDescent="0.2"/>
  <cols>
    <col min="1" max="1" width="8.7109375" style="13" customWidth="1"/>
    <col min="2" max="5" width="10.7109375" style="13" customWidth="1"/>
    <col min="6" max="9" width="10.7109375" style="1" customWidth="1"/>
    <col min="10" max="11" width="8.7109375" style="11" customWidth="1"/>
    <col min="12" max="13" width="8.7109375" style="1" customWidth="1"/>
    <col min="14" max="14" width="7.7109375" style="14" customWidth="1"/>
    <col min="15" max="15" width="33.7109375" style="1" customWidth="1"/>
    <col min="16" max="20" width="10.7109375" style="1" customWidth="1"/>
    <col min="21" max="23" width="9.140625" style="122" hidden="1" customWidth="1"/>
    <col min="24" max="25" width="9.140625" style="120" customWidth="1"/>
    <col min="26" max="26" width="9.140625" style="1" customWidth="1"/>
    <col min="27" max="16384" width="9.140625" style="1"/>
  </cols>
  <sheetData>
    <row r="1" spans="1:24" x14ac:dyDescent="0.2">
      <c r="A1" s="66" t="s">
        <v>0</v>
      </c>
      <c r="B1" s="151" t="str">
        <f>Namn</f>
        <v>Håkan Stensby</v>
      </c>
      <c r="C1" s="152"/>
      <c r="D1" s="152"/>
      <c r="E1" s="47" t="s">
        <v>1</v>
      </c>
      <c r="F1" s="115">
        <f>SUM(F7:F37)</f>
        <v>0</v>
      </c>
      <c r="G1" s="51"/>
      <c r="H1" s="47" t="s">
        <v>2</v>
      </c>
      <c r="I1" s="76">
        <f>VLOOKUP(B3,översikt!A61:C72,3,FALSE)*B4</f>
        <v>184</v>
      </c>
      <c r="J1" s="77"/>
      <c r="K1" s="78"/>
      <c r="L1" s="79"/>
      <c r="M1" s="80"/>
      <c r="N1" s="80"/>
      <c r="O1" s="81"/>
      <c r="P1" s="85"/>
      <c r="Q1" s="85"/>
      <c r="R1" s="85"/>
      <c r="S1" s="85"/>
      <c r="T1" s="85"/>
    </row>
    <row r="2" spans="1:24" x14ac:dyDescent="0.2">
      <c r="A2" s="67" t="s">
        <v>3</v>
      </c>
      <c r="B2" s="161" t="str">
        <f>Pnr</f>
        <v>19770217-6418</v>
      </c>
      <c r="C2" s="154"/>
      <c r="D2" s="154"/>
      <c r="E2" s="53" t="s">
        <v>4</v>
      </c>
      <c r="F2" s="116">
        <f>VALUE(SUM(M7:M37)*24)</f>
        <v>0</v>
      </c>
      <c r="G2" s="48"/>
      <c r="H2" s="53" t="s">
        <v>5</v>
      </c>
      <c r="I2" s="82">
        <f>IF(F3=0,0,F3-I1)</f>
        <v>0</v>
      </c>
      <c r="J2" s="83"/>
      <c r="K2" s="84"/>
      <c r="L2" s="85"/>
      <c r="M2" s="86"/>
      <c r="N2" s="87"/>
      <c r="O2" s="88"/>
      <c r="P2" s="85"/>
      <c r="Q2" s="85"/>
      <c r="R2" s="85"/>
      <c r="S2" s="85"/>
      <c r="T2" s="85"/>
    </row>
    <row r="3" spans="1:24" x14ac:dyDescent="0.2">
      <c r="A3" s="67" t="s">
        <v>6</v>
      </c>
      <c r="B3" s="155">
        <f>översikt!A67</f>
        <v>44742</v>
      </c>
      <c r="C3" s="154"/>
      <c r="D3" s="154"/>
      <c r="E3" s="53" t="s">
        <v>7</v>
      </c>
      <c r="F3" s="116">
        <f>F1+F2</f>
        <v>0</v>
      </c>
      <c r="G3" s="49"/>
      <c r="H3" s="53" t="s">
        <v>8</v>
      </c>
      <c r="I3" s="82" t="str">
        <f ca="1">juni!I4</f>
        <v>-</v>
      </c>
      <c r="J3" s="84"/>
      <c r="K3" s="85"/>
      <c r="L3" s="85"/>
      <c r="M3" s="89"/>
      <c r="N3" s="87"/>
      <c r="O3" s="88"/>
      <c r="P3" s="85"/>
      <c r="Q3" s="85"/>
      <c r="R3" s="85"/>
      <c r="S3" s="85"/>
      <c r="T3" s="85"/>
      <c r="W3" s="123"/>
    </row>
    <row r="4" spans="1:24" x14ac:dyDescent="0.2">
      <c r="A4" s="67" t="s">
        <v>9</v>
      </c>
      <c r="B4" s="159">
        <f>Tjgrad</f>
        <v>1</v>
      </c>
      <c r="C4" s="160"/>
      <c r="D4" s="52"/>
      <c r="E4" s="53" t="s">
        <v>10</v>
      </c>
      <c r="F4" s="50"/>
      <c r="G4" s="49"/>
      <c r="H4" s="53" t="s">
        <v>11</v>
      </c>
      <c r="I4" s="131" t="str">
        <f ca="1">IF(N7="", "-", OFFSET(N6, COUNT(N:N), 0, 1, 1) + I3)</f>
        <v>-</v>
      </c>
      <c r="J4" s="84"/>
      <c r="K4" s="85"/>
      <c r="L4" s="85"/>
      <c r="M4" s="89"/>
      <c r="N4" s="87"/>
      <c r="O4" s="88"/>
      <c r="P4" s="90" t="s">
        <v>12</v>
      </c>
      <c r="Q4" s="85"/>
      <c r="R4" s="85"/>
      <c r="S4" s="85"/>
      <c r="T4" s="85"/>
    </row>
    <row r="5" spans="1:24" x14ac:dyDescent="0.2">
      <c r="A5" s="68"/>
      <c r="B5" s="70" t="s">
        <v>13</v>
      </c>
      <c r="C5" s="70"/>
      <c r="D5" s="70"/>
      <c r="E5" s="70"/>
      <c r="F5" s="70"/>
      <c r="G5" s="70"/>
      <c r="H5" s="70"/>
      <c r="I5" s="70"/>
      <c r="J5" s="70" t="s">
        <v>14</v>
      </c>
      <c r="K5" s="70"/>
      <c r="L5" s="70"/>
      <c r="M5" s="70"/>
      <c r="N5" s="71" t="s">
        <v>15</v>
      </c>
      <c r="O5" s="72"/>
      <c r="P5" s="91" t="s">
        <v>16</v>
      </c>
      <c r="Q5" s="70"/>
      <c r="R5" s="70"/>
      <c r="S5" s="70"/>
      <c r="T5" s="70"/>
      <c r="U5" s="122" t="s">
        <v>17</v>
      </c>
      <c r="V5" s="122" t="s">
        <v>18</v>
      </c>
      <c r="W5" s="122" t="s">
        <v>19</v>
      </c>
    </row>
    <row r="6" spans="1:24" x14ac:dyDescent="0.2">
      <c r="A6" s="69" t="s">
        <v>17</v>
      </c>
      <c r="B6" s="73" t="s">
        <v>20</v>
      </c>
      <c r="C6" s="73" t="s">
        <v>21</v>
      </c>
      <c r="D6" s="73" t="s">
        <v>22</v>
      </c>
      <c r="E6" s="73" t="s">
        <v>23</v>
      </c>
      <c r="F6" s="73" t="s">
        <v>24</v>
      </c>
      <c r="G6" s="73" t="s">
        <v>25</v>
      </c>
      <c r="H6" s="73"/>
      <c r="I6" s="73"/>
      <c r="J6" s="73" t="s">
        <v>26</v>
      </c>
      <c r="K6" s="73" t="s">
        <v>27</v>
      </c>
      <c r="L6" s="73" t="s">
        <v>28</v>
      </c>
      <c r="M6" s="73" t="s">
        <v>29</v>
      </c>
      <c r="N6" s="74" t="s">
        <v>30</v>
      </c>
      <c r="O6" s="75" t="s">
        <v>31</v>
      </c>
      <c r="P6" s="113"/>
      <c r="Q6" s="113"/>
      <c r="R6" s="113"/>
      <c r="S6" s="113"/>
      <c r="T6" s="113"/>
    </row>
    <row r="7" spans="1:24" x14ac:dyDescent="0.2">
      <c r="A7" s="2">
        <f>B3</f>
        <v>44742</v>
      </c>
      <c r="B7" s="3"/>
      <c r="C7" s="3"/>
      <c r="D7" s="3" t="str">
        <f t="shared" ref="D7:D37" si="0">IF(C7="","",0.5/24)</f>
        <v/>
      </c>
      <c r="E7" s="4">
        <f t="shared" ref="E7:E37" si="1">IF(C7="",0,C7-B7-D7)</f>
        <v>0</v>
      </c>
      <c r="F7" s="5">
        <f t="shared" ref="F7:F37" si="2">IF(E7="","",VALUE(E7)*24)</f>
        <v>0</v>
      </c>
      <c r="G7" s="156"/>
      <c r="H7" s="157"/>
      <c r="I7" s="158"/>
      <c r="J7" s="3"/>
      <c r="K7" s="3"/>
      <c r="L7" s="6"/>
      <c r="M7" s="7">
        <f t="shared" ref="M7:M37" si="3">IF(OR(G7="Semester",G7="Sjuk",G7="Vård av barn"),8/24*$B$4,IF(L7="+",K7-J7,IF(L7="-",(K7-J7)*-1,0)))</f>
        <v>0</v>
      </c>
      <c r="N7" s="42" t="str">
        <f t="shared" ref="N7:N37" ca="1" si="4">IF(Dagen&gt;A7,W7-V7,"")</f>
        <v/>
      </c>
      <c r="O7" s="43"/>
      <c r="P7" s="56"/>
      <c r="Q7" s="56"/>
      <c r="R7" s="56"/>
      <c r="S7" s="56"/>
      <c r="T7" s="56"/>
      <c r="U7" s="125">
        <f t="shared" ref="U7:U37" si="5">IF(A7="",0,WEEKDAY(A7,3))</f>
        <v>2</v>
      </c>
      <c r="V7" s="122">
        <f t="shared" ref="V7:V37" si="6">IF(U7&gt;4,V6,V6+$B$4*8)</f>
        <v>8</v>
      </c>
      <c r="W7" s="124">
        <f t="shared" ref="W7:W37" si="7">VALUE(E7)*24+VALUE(M7)*24+W6</f>
        <v>0</v>
      </c>
    </row>
    <row r="8" spans="1:24" x14ac:dyDescent="0.2">
      <c r="A8" s="8">
        <f t="shared" ref="A8:A37" si="8">A7+1</f>
        <v>44743</v>
      </c>
      <c r="B8" s="9"/>
      <c r="C8" s="9"/>
      <c r="D8" s="3" t="str">
        <f t="shared" si="0"/>
        <v/>
      </c>
      <c r="E8" s="4">
        <f t="shared" si="1"/>
        <v>0</v>
      </c>
      <c r="F8" s="5">
        <f t="shared" si="2"/>
        <v>0</v>
      </c>
      <c r="G8" s="146"/>
      <c r="H8" s="147"/>
      <c r="I8" s="148"/>
      <c r="J8" s="9"/>
      <c r="K8" s="9"/>
      <c r="L8" s="10"/>
      <c r="M8" s="7">
        <f t="shared" si="3"/>
        <v>0</v>
      </c>
      <c r="N8" s="44" t="str">
        <f t="shared" ca="1" si="4"/>
        <v/>
      </c>
      <c r="O8" s="45"/>
      <c r="P8" s="56"/>
      <c r="Q8" s="56"/>
      <c r="R8" s="56"/>
      <c r="S8" s="56"/>
      <c r="T8" s="56"/>
      <c r="U8" s="122">
        <f t="shared" si="5"/>
        <v>3</v>
      </c>
      <c r="V8" s="122">
        <f t="shared" si="6"/>
        <v>16</v>
      </c>
      <c r="W8" s="124">
        <f t="shared" si="7"/>
        <v>0</v>
      </c>
      <c r="X8" s="121"/>
    </row>
    <row r="9" spans="1:24" x14ac:dyDescent="0.2">
      <c r="A9" s="8">
        <f t="shared" si="8"/>
        <v>44744</v>
      </c>
      <c r="B9" s="9"/>
      <c r="C9" s="9"/>
      <c r="D9" s="3" t="str">
        <f t="shared" si="0"/>
        <v/>
      </c>
      <c r="E9" s="4">
        <f t="shared" si="1"/>
        <v>0</v>
      </c>
      <c r="F9" s="5">
        <f t="shared" si="2"/>
        <v>0</v>
      </c>
      <c r="G9" s="146"/>
      <c r="H9" s="147"/>
      <c r="I9" s="148"/>
      <c r="J9" s="9"/>
      <c r="K9" s="9"/>
      <c r="L9" s="10"/>
      <c r="M9" s="7">
        <f t="shared" si="3"/>
        <v>0</v>
      </c>
      <c r="N9" s="44" t="str">
        <f t="shared" ca="1" si="4"/>
        <v/>
      </c>
      <c r="O9" s="45"/>
      <c r="P9" s="56"/>
      <c r="Q9" s="56"/>
      <c r="R9" s="56"/>
      <c r="S9" s="56"/>
      <c r="T9" s="56"/>
      <c r="U9" s="122">
        <f t="shared" si="5"/>
        <v>4</v>
      </c>
      <c r="V9" s="122">
        <f t="shared" si="6"/>
        <v>24</v>
      </c>
      <c r="W9" s="124">
        <f t="shared" si="7"/>
        <v>0</v>
      </c>
      <c r="X9" s="121"/>
    </row>
    <row r="10" spans="1:24" x14ac:dyDescent="0.2">
      <c r="A10" s="8">
        <f t="shared" si="8"/>
        <v>44745</v>
      </c>
      <c r="B10" s="9"/>
      <c r="C10" s="9"/>
      <c r="D10" s="3" t="str">
        <f t="shared" si="0"/>
        <v/>
      </c>
      <c r="E10" s="4">
        <f t="shared" si="1"/>
        <v>0</v>
      </c>
      <c r="F10" s="5">
        <f t="shared" si="2"/>
        <v>0</v>
      </c>
      <c r="G10" s="167"/>
      <c r="H10" s="168"/>
      <c r="I10" s="169"/>
      <c r="J10" s="34"/>
      <c r="K10" s="34"/>
      <c r="L10" s="35"/>
      <c r="M10" s="7">
        <f t="shared" si="3"/>
        <v>0</v>
      </c>
      <c r="N10" s="44" t="str">
        <f t="shared" ca="1" si="4"/>
        <v/>
      </c>
      <c r="O10" s="45"/>
      <c r="P10" s="56"/>
      <c r="Q10" s="56"/>
      <c r="R10" s="56"/>
      <c r="S10" s="56"/>
      <c r="T10" s="56"/>
      <c r="U10" s="122">
        <f t="shared" si="5"/>
        <v>5</v>
      </c>
      <c r="V10" s="122">
        <f t="shared" si="6"/>
        <v>24</v>
      </c>
      <c r="W10" s="124">
        <f t="shared" si="7"/>
        <v>0</v>
      </c>
      <c r="X10" s="121"/>
    </row>
    <row r="11" spans="1:24" x14ac:dyDescent="0.2">
      <c r="A11" s="8">
        <f t="shared" si="8"/>
        <v>44746</v>
      </c>
      <c r="B11" s="9"/>
      <c r="C11" s="9"/>
      <c r="D11" s="3" t="str">
        <f t="shared" si="0"/>
        <v/>
      </c>
      <c r="E11" s="4">
        <f t="shared" si="1"/>
        <v>0</v>
      </c>
      <c r="F11" s="5">
        <f t="shared" si="2"/>
        <v>0</v>
      </c>
      <c r="G11" s="146"/>
      <c r="H11" s="147"/>
      <c r="I11" s="148"/>
      <c r="J11" s="9"/>
      <c r="K11" s="9"/>
      <c r="L11" s="10"/>
      <c r="M11" s="7">
        <f t="shared" si="3"/>
        <v>0</v>
      </c>
      <c r="N11" s="44" t="str">
        <f t="shared" ca="1" si="4"/>
        <v/>
      </c>
      <c r="O11" s="45"/>
      <c r="P11" s="56"/>
      <c r="Q11" s="56"/>
      <c r="R11" s="56"/>
      <c r="S11" s="56"/>
      <c r="T11" s="56"/>
      <c r="U11" s="122">
        <f t="shared" si="5"/>
        <v>6</v>
      </c>
      <c r="V11" s="125">
        <f t="shared" si="6"/>
        <v>24</v>
      </c>
      <c r="W11" s="124">
        <f t="shared" si="7"/>
        <v>0</v>
      </c>
      <c r="X11" s="121"/>
    </row>
    <row r="12" spans="1:24" x14ac:dyDescent="0.2">
      <c r="A12" s="8">
        <f t="shared" si="8"/>
        <v>44747</v>
      </c>
      <c r="B12" s="9"/>
      <c r="C12" s="9"/>
      <c r="D12" s="3" t="str">
        <f t="shared" si="0"/>
        <v/>
      </c>
      <c r="E12" s="4">
        <f t="shared" si="1"/>
        <v>0</v>
      </c>
      <c r="F12" s="5">
        <f t="shared" si="2"/>
        <v>0</v>
      </c>
      <c r="G12" s="156"/>
      <c r="H12" s="157"/>
      <c r="I12" s="158"/>
      <c r="J12" s="3"/>
      <c r="K12" s="3"/>
      <c r="L12" s="6"/>
      <c r="M12" s="7">
        <f t="shared" si="3"/>
        <v>0</v>
      </c>
      <c r="N12" s="44" t="str">
        <f t="shared" ca="1" si="4"/>
        <v/>
      </c>
      <c r="O12" s="45"/>
      <c r="P12" s="56"/>
      <c r="Q12" s="56"/>
      <c r="R12" s="56"/>
      <c r="S12" s="56"/>
      <c r="T12" s="56"/>
      <c r="U12" s="125">
        <f t="shared" si="5"/>
        <v>0</v>
      </c>
      <c r="V12" s="122">
        <f t="shared" si="6"/>
        <v>32</v>
      </c>
      <c r="W12" s="124">
        <f t="shared" si="7"/>
        <v>0</v>
      </c>
      <c r="X12" s="121"/>
    </row>
    <row r="13" spans="1:24" x14ac:dyDescent="0.2">
      <c r="A13" s="8">
        <f t="shared" si="8"/>
        <v>44748</v>
      </c>
      <c r="B13" s="9"/>
      <c r="C13" s="9"/>
      <c r="D13" s="3" t="str">
        <f t="shared" si="0"/>
        <v/>
      </c>
      <c r="E13" s="4">
        <f t="shared" si="1"/>
        <v>0</v>
      </c>
      <c r="F13" s="5">
        <f t="shared" si="2"/>
        <v>0</v>
      </c>
      <c r="G13" s="146"/>
      <c r="H13" s="147"/>
      <c r="I13" s="148"/>
      <c r="J13" s="9"/>
      <c r="K13" s="9"/>
      <c r="L13" s="10"/>
      <c r="M13" s="7">
        <f t="shared" si="3"/>
        <v>0</v>
      </c>
      <c r="N13" s="44" t="str">
        <f t="shared" ca="1" si="4"/>
        <v/>
      </c>
      <c r="O13" s="45"/>
      <c r="P13" s="56"/>
      <c r="Q13" s="56"/>
      <c r="R13" s="56"/>
      <c r="S13" s="56"/>
      <c r="T13" s="56"/>
      <c r="U13" s="122">
        <f t="shared" si="5"/>
        <v>1</v>
      </c>
      <c r="V13" s="122">
        <f t="shared" si="6"/>
        <v>40</v>
      </c>
      <c r="W13" s="124">
        <f t="shared" si="7"/>
        <v>0</v>
      </c>
      <c r="X13" s="121"/>
    </row>
    <row r="14" spans="1:24" x14ac:dyDescent="0.2">
      <c r="A14" s="8">
        <f t="shared" si="8"/>
        <v>44749</v>
      </c>
      <c r="B14" s="9"/>
      <c r="C14" s="9"/>
      <c r="D14" s="3" t="str">
        <f t="shared" si="0"/>
        <v/>
      </c>
      <c r="E14" s="4">
        <f t="shared" si="1"/>
        <v>0</v>
      </c>
      <c r="F14" s="5">
        <f t="shared" si="2"/>
        <v>0</v>
      </c>
      <c r="G14" s="146"/>
      <c r="H14" s="147"/>
      <c r="I14" s="148"/>
      <c r="J14" s="9"/>
      <c r="K14" s="9"/>
      <c r="L14" s="10"/>
      <c r="M14" s="7">
        <f t="shared" si="3"/>
        <v>0</v>
      </c>
      <c r="N14" s="44" t="str">
        <f t="shared" ca="1" si="4"/>
        <v/>
      </c>
      <c r="O14" s="45"/>
      <c r="P14" s="56"/>
      <c r="Q14" s="56"/>
      <c r="R14" s="56"/>
      <c r="S14" s="56"/>
      <c r="T14" s="56"/>
      <c r="U14" s="122">
        <f t="shared" si="5"/>
        <v>2</v>
      </c>
      <c r="V14" s="122">
        <f t="shared" si="6"/>
        <v>48</v>
      </c>
      <c r="W14" s="124">
        <f t="shared" si="7"/>
        <v>0</v>
      </c>
      <c r="X14" s="121"/>
    </row>
    <row r="15" spans="1:24" x14ac:dyDescent="0.2">
      <c r="A15" s="8">
        <f t="shared" si="8"/>
        <v>44750</v>
      </c>
      <c r="B15" s="9"/>
      <c r="C15" s="9"/>
      <c r="D15" s="3" t="str">
        <f t="shared" si="0"/>
        <v/>
      </c>
      <c r="E15" s="4">
        <f t="shared" si="1"/>
        <v>0</v>
      </c>
      <c r="F15" s="5">
        <f t="shared" si="2"/>
        <v>0</v>
      </c>
      <c r="G15" s="146"/>
      <c r="H15" s="147"/>
      <c r="I15" s="148"/>
      <c r="J15" s="9"/>
      <c r="K15" s="9"/>
      <c r="L15" s="10"/>
      <c r="M15" s="7">
        <f t="shared" si="3"/>
        <v>0</v>
      </c>
      <c r="N15" s="44" t="str">
        <f t="shared" ca="1" si="4"/>
        <v/>
      </c>
      <c r="O15" s="45"/>
      <c r="P15" s="56"/>
      <c r="Q15" s="56"/>
      <c r="R15" s="56"/>
      <c r="S15" s="56"/>
      <c r="T15" s="56"/>
      <c r="U15" s="122">
        <f t="shared" si="5"/>
        <v>3</v>
      </c>
      <c r="V15" s="122">
        <f t="shared" si="6"/>
        <v>56</v>
      </c>
      <c r="W15" s="124">
        <f t="shared" si="7"/>
        <v>0</v>
      </c>
    </row>
    <row r="16" spans="1:24" x14ac:dyDescent="0.2">
      <c r="A16" s="8">
        <f t="shared" si="8"/>
        <v>44751</v>
      </c>
      <c r="B16" s="9"/>
      <c r="C16" s="9"/>
      <c r="D16" s="3" t="str">
        <f t="shared" si="0"/>
        <v/>
      </c>
      <c r="E16" s="4">
        <f t="shared" si="1"/>
        <v>0</v>
      </c>
      <c r="F16" s="5">
        <f t="shared" si="2"/>
        <v>0</v>
      </c>
      <c r="G16" s="146"/>
      <c r="H16" s="147"/>
      <c r="I16" s="148"/>
      <c r="J16" s="9"/>
      <c r="K16" s="9"/>
      <c r="L16" s="10"/>
      <c r="M16" s="7">
        <f t="shared" si="3"/>
        <v>0</v>
      </c>
      <c r="N16" s="44" t="str">
        <f t="shared" ca="1" si="4"/>
        <v/>
      </c>
      <c r="O16" s="45"/>
      <c r="P16" s="56"/>
      <c r="Q16" s="56"/>
      <c r="R16" s="56"/>
      <c r="S16" s="56"/>
      <c r="T16" s="56"/>
      <c r="U16" s="122">
        <f t="shared" si="5"/>
        <v>4</v>
      </c>
      <c r="V16" s="122">
        <f t="shared" si="6"/>
        <v>64</v>
      </c>
      <c r="W16" s="124">
        <f t="shared" si="7"/>
        <v>0</v>
      </c>
    </row>
    <row r="17" spans="1:23" x14ac:dyDescent="0.2">
      <c r="A17" s="8">
        <f t="shared" si="8"/>
        <v>44752</v>
      </c>
      <c r="B17" s="9"/>
      <c r="C17" s="9"/>
      <c r="D17" s="3" t="str">
        <f t="shared" si="0"/>
        <v/>
      </c>
      <c r="E17" s="4">
        <f t="shared" si="1"/>
        <v>0</v>
      </c>
      <c r="F17" s="5">
        <f t="shared" si="2"/>
        <v>0</v>
      </c>
      <c r="G17" s="146"/>
      <c r="H17" s="147"/>
      <c r="I17" s="148"/>
      <c r="J17" s="9"/>
      <c r="K17" s="9"/>
      <c r="L17" s="10"/>
      <c r="M17" s="7">
        <f t="shared" si="3"/>
        <v>0</v>
      </c>
      <c r="N17" s="44" t="str">
        <f t="shared" ca="1" si="4"/>
        <v/>
      </c>
      <c r="O17" s="45"/>
      <c r="P17" s="56"/>
      <c r="Q17" s="56"/>
      <c r="R17" s="56"/>
      <c r="S17" s="56"/>
      <c r="T17" s="56"/>
      <c r="U17" s="122">
        <f t="shared" si="5"/>
        <v>5</v>
      </c>
      <c r="V17" s="122">
        <f t="shared" si="6"/>
        <v>64</v>
      </c>
      <c r="W17" s="124">
        <f t="shared" si="7"/>
        <v>0</v>
      </c>
    </row>
    <row r="18" spans="1:23" x14ac:dyDescent="0.2">
      <c r="A18" s="8">
        <f t="shared" si="8"/>
        <v>44753</v>
      </c>
      <c r="B18" s="9"/>
      <c r="C18" s="9"/>
      <c r="D18" s="3" t="str">
        <f t="shared" si="0"/>
        <v/>
      </c>
      <c r="E18" s="4">
        <f t="shared" si="1"/>
        <v>0</v>
      </c>
      <c r="F18" s="5">
        <f t="shared" si="2"/>
        <v>0</v>
      </c>
      <c r="G18" s="146"/>
      <c r="H18" s="147"/>
      <c r="I18" s="148"/>
      <c r="J18" s="9"/>
      <c r="K18" s="9"/>
      <c r="L18" s="10"/>
      <c r="M18" s="7">
        <f t="shared" si="3"/>
        <v>0</v>
      </c>
      <c r="N18" s="44" t="str">
        <f t="shared" ca="1" si="4"/>
        <v/>
      </c>
      <c r="O18" s="45"/>
      <c r="P18" s="56"/>
      <c r="Q18" s="56"/>
      <c r="R18" s="56"/>
      <c r="S18" s="56"/>
      <c r="T18" s="56"/>
      <c r="U18" s="122">
        <f t="shared" si="5"/>
        <v>6</v>
      </c>
      <c r="V18" s="122">
        <f t="shared" si="6"/>
        <v>64</v>
      </c>
      <c r="W18" s="124">
        <f t="shared" si="7"/>
        <v>0</v>
      </c>
    </row>
    <row r="19" spans="1:23" x14ac:dyDescent="0.2">
      <c r="A19" s="8">
        <f t="shared" si="8"/>
        <v>44754</v>
      </c>
      <c r="B19" s="9"/>
      <c r="C19" s="9"/>
      <c r="D19" s="3" t="str">
        <f t="shared" si="0"/>
        <v/>
      </c>
      <c r="E19" s="4">
        <f t="shared" si="1"/>
        <v>0</v>
      </c>
      <c r="F19" s="5">
        <f t="shared" si="2"/>
        <v>0</v>
      </c>
      <c r="G19" s="146"/>
      <c r="H19" s="147"/>
      <c r="I19" s="148"/>
      <c r="J19" s="9"/>
      <c r="K19" s="9"/>
      <c r="L19" s="10"/>
      <c r="M19" s="7">
        <f t="shared" si="3"/>
        <v>0</v>
      </c>
      <c r="N19" s="44" t="str">
        <f t="shared" ca="1" si="4"/>
        <v/>
      </c>
      <c r="O19" s="45"/>
      <c r="P19" s="56"/>
      <c r="Q19" s="56"/>
      <c r="R19" s="56"/>
      <c r="S19" s="56"/>
      <c r="T19" s="56"/>
      <c r="U19" s="122">
        <f t="shared" si="5"/>
        <v>0</v>
      </c>
      <c r="V19" s="122">
        <f t="shared" si="6"/>
        <v>72</v>
      </c>
      <c r="W19" s="124">
        <f t="shared" si="7"/>
        <v>0</v>
      </c>
    </row>
    <row r="20" spans="1:23" x14ac:dyDescent="0.2">
      <c r="A20" s="8">
        <f t="shared" si="8"/>
        <v>44755</v>
      </c>
      <c r="B20" s="9"/>
      <c r="C20" s="144"/>
      <c r="D20" s="3" t="str">
        <f t="shared" si="0"/>
        <v/>
      </c>
      <c r="E20" s="4">
        <f t="shared" si="1"/>
        <v>0</v>
      </c>
      <c r="F20" s="5">
        <f t="shared" si="2"/>
        <v>0</v>
      </c>
      <c r="G20" s="146"/>
      <c r="H20" s="147"/>
      <c r="I20" s="148"/>
      <c r="J20" s="9"/>
      <c r="K20" s="9"/>
      <c r="L20" s="10"/>
      <c r="M20" s="7">
        <f t="shared" si="3"/>
        <v>0</v>
      </c>
      <c r="N20" s="44" t="str">
        <f t="shared" ca="1" si="4"/>
        <v/>
      </c>
      <c r="O20" s="45"/>
      <c r="P20" s="56"/>
      <c r="Q20" s="56"/>
      <c r="R20" s="56"/>
      <c r="S20" s="56"/>
      <c r="T20" s="56"/>
      <c r="U20" s="122">
        <f t="shared" si="5"/>
        <v>1</v>
      </c>
      <c r="V20" s="122">
        <f t="shared" si="6"/>
        <v>80</v>
      </c>
      <c r="W20" s="124">
        <f t="shared" si="7"/>
        <v>0</v>
      </c>
    </row>
    <row r="21" spans="1:23" x14ac:dyDescent="0.2">
      <c r="A21" s="8">
        <f t="shared" si="8"/>
        <v>44756</v>
      </c>
      <c r="B21" s="9"/>
      <c r="C21" s="9"/>
      <c r="D21" s="3" t="str">
        <f t="shared" si="0"/>
        <v/>
      </c>
      <c r="E21" s="4">
        <f t="shared" si="1"/>
        <v>0</v>
      </c>
      <c r="F21" s="5">
        <f t="shared" si="2"/>
        <v>0</v>
      </c>
      <c r="G21" s="146"/>
      <c r="H21" s="147"/>
      <c r="I21" s="148"/>
      <c r="J21" s="9"/>
      <c r="K21" s="9"/>
      <c r="L21" s="10"/>
      <c r="M21" s="7">
        <f t="shared" si="3"/>
        <v>0</v>
      </c>
      <c r="N21" s="44" t="str">
        <f t="shared" ca="1" si="4"/>
        <v/>
      </c>
      <c r="O21" s="45"/>
      <c r="P21" s="56"/>
      <c r="Q21" s="56"/>
      <c r="R21" s="56"/>
      <c r="S21" s="56"/>
      <c r="T21" s="56"/>
      <c r="U21" s="122">
        <f t="shared" si="5"/>
        <v>2</v>
      </c>
      <c r="V21" s="122">
        <f t="shared" si="6"/>
        <v>88</v>
      </c>
      <c r="W21" s="124">
        <f t="shared" si="7"/>
        <v>0</v>
      </c>
    </row>
    <row r="22" spans="1:23" x14ac:dyDescent="0.2">
      <c r="A22" s="8">
        <f t="shared" si="8"/>
        <v>44757</v>
      </c>
      <c r="B22" s="9"/>
      <c r="C22" s="144"/>
      <c r="D22" s="3" t="str">
        <f t="shared" si="0"/>
        <v/>
      </c>
      <c r="E22" s="4">
        <f t="shared" si="1"/>
        <v>0</v>
      </c>
      <c r="F22" s="5">
        <f t="shared" si="2"/>
        <v>0</v>
      </c>
      <c r="G22" s="146"/>
      <c r="H22" s="147"/>
      <c r="I22" s="148"/>
      <c r="J22" s="9"/>
      <c r="K22" s="9"/>
      <c r="L22" s="10"/>
      <c r="M22" s="7">
        <f t="shared" si="3"/>
        <v>0</v>
      </c>
      <c r="N22" s="44" t="str">
        <f t="shared" ca="1" si="4"/>
        <v/>
      </c>
      <c r="O22" s="45"/>
      <c r="P22" s="56"/>
      <c r="Q22" s="56"/>
      <c r="R22" s="56"/>
      <c r="S22" s="56"/>
      <c r="T22" s="56"/>
      <c r="U22" s="122">
        <f t="shared" si="5"/>
        <v>3</v>
      </c>
      <c r="V22" s="122">
        <f t="shared" si="6"/>
        <v>96</v>
      </c>
      <c r="W22" s="124">
        <f t="shared" si="7"/>
        <v>0</v>
      </c>
    </row>
    <row r="23" spans="1:23" x14ac:dyDescent="0.2">
      <c r="A23" s="8">
        <f t="shared" si="8"/>
        <v>44758</v>
      </c>
      <c r="B23" s="9"/>
      <c r="C23" s="9"/>
      <c r="D23" s="3" t="str">
        <f t="shared" si="0"/>
        <v/>
      </c>
      <c r="E23" s="4">
        <f t="shared" si="1"/>
        <v>0</v>
      </c>
      <c r="F23" s="5">
        <f t="shared" si="2"/>
        <v>0</v>
      </c>
      <c r="G23" s="146"/>
      <c r="H23" s="147"/>
      <c r="I23" s="148"/>
      <c r="J23" s="9"/>
      <c r="K23" s="9"/>
      <c r="L23" s="10"/>
      <c r="M23" s="7">
        <f t="shared" si="3"/>
        <v>0</v>
      </c>
      <c r="N23" s="44" t="str">
        <f t="shared" ca="1" si="4"/>
        <v/>
      </c>
      <c r="O23" s="45"/>
      <c r="P23" s="56"/>
      <c r="Q23" s="56"/>
      <c r="R23" s="56"/>
      <c r="S23" s="56"/>
      <c r="T23" s="56"/>
      <c r="U23" s="122">
        <f t="shared" si="5"/>
        <v>4</v>
      </c>
      <c r="V23" s="122">
        <f t="shared" si="6"/>
        <v>104</v>
      </c>
      <c r="W23" s="124">
        <f t="shared" si="7"/>
        <v>0</v>
      </c>
    </row>
    <row r="24" spans="1:23" x14ac:dyDescent="0.2">
      <c r="A24" s="8">
        <f t="shared" si="8"/>
        <v>44759</v>
      </c>
      <c r="B24" s="9"/>
      <c r="C24" s="9"/>
      <c r="D24" s="3" t="str">
        <f t="shared" si="0"/>
        <v/>
      </c>
      <c r="E24" s="4">
        <f t="shared" si="1"/>
        <v>0</v>
      </c>
      <c r="F24" s="5">
        <f t="shared" si="2"/>
        <v>0</v>
      </c>
      <c r="G24" s="146"/>
      <c r="H24" s="147"/>
      <c r="I24" s="148"/>
      <c r="J24" s="9"/>
      <c r="K24" s="9"/>
      <c r="L24" s="10"/>
      <c r="M24" s="7">
        <f t="shared" si="3"/>
        <v>0</v>
      </c>
      <c r="N24" s="44" t="str">
        <f t="shared" ca="1" si="4"/>
        <v/>
      </c>
      <c r="O24" s="45"/>
      <c r="P24" s="56"/>
      <c r="Q24" s="56"/>
      <c r="R24" s="56"/>
      <c r="S24" s="56"/>
      <c r="T24" s="56"/>
      <c r="U24" s="122">
        <f t="shared" si="5"/>
        <v>5</v>
      </c>
      <c r="V24" s="122">
        <f t="shared" si="6"/>
        <v>104</v>
      </c>
      <c r="W24" s="124">
        <f t="shared" si="7"/>
        <v>0</v>
      </c>
    </row>
    <row r="25" spans="1:23" x14ac:dyDescent="0.2">
      <c r="A25" s="8">
        <f t="shared" si="8"/>
        <v>44760</v>
      </c>
      <c r="B25" s="9"/>
      <c r="C25" s="9"/>
      <c r="D25" s="3" t="str">
        <f t="shared" si="0"/>
        <v/>
      </c>
      <c r="E25" s="4">
        <f t="shared" si="1"/>
        <v>0</v>
      </c>
      <c r="F25" s="5">
        <f t="shared" si="2"/>
        <v>0</v>
      </c>
      <c r="G25" s="146"/>
      <c r="H25" s="147"/>
      <c r="I25" s="148"/>
      <c r="J25" s="9"/>
      <c r="K25" s="9"/>
      <c r="L25" s="10"/>
      <c r="M25" s="7">
        <f t="shared" si="3"/>
        <v>0</v>
      </c>
      <c r="N25" s="44" t="str">
        <f t="shared" ca="1" si="4"/>
        <v/>
      </c>
      <c r="O25" s="45"/>
      <c r="P25" s="56"/>
      <c r="Q25" s="56"/>
      <c r="R25" s="56"/>
      <c r="S25" s="56"/>
      <c r="T25" s="56"/>
      <c r="U25" s="122">
        <f t="shared" si="5"/>
        <v>6</v>
      </c>
      <c r="V25" s="122">
        <f t="shared" si="6"/>
        <v>104</v>
      </c>
      <c r="W25" s="124">
        <f t="shared" si="7"/>
        <v>0</v>
      </c>
    </row>
    <row r="26" spans="1:23" x14ac:dyDescent="0.2">
      <c r="A26" s="8">
        <f t="shared" si="8"/>
        <v>44761</v>
      </c>
      <c r="B26" s="9"/>
      <c r="C26" s="9"/>
      <c r="D26" s="3" t="str">
        <f t="shared" si="0"/>
        <v/>
      </c>
      <c r="E26" s="4">
        <f t="shared" si="1"/>
        <v>0</v>
      </c>
      <c r="F26" s="5">
        <f t="shared" si="2"/>
        <v>0</v>
      </c>
      <c r="G26" s="146"/>
      <c r="H26" s="147"/>
      <c r="I26" s="148"/>
      <c r="J26" s="9"/>
      <c r="K26" s="9"/>
      <c r="L26" s="10"/>
      <c r="M26" s="7">
        <f t="shared" si="3"/>
        <v>0</v>
      </c>
      <c r="N26" s="44" t="str">
        <f t="shared" ca="1" si="4"/>
        <v/>
      </c>
      <c r="O26" s="45"/>
      <c r="P26" s="56"/>
      <c r="Q26" s="56"/>
      <c r="R26" s="56"/>
      <c r="S26" s="56"/>
      <c r="T26" s="56"/>
      <c r="U26" s="122">
        <f t="shared" si="5"/>
        <v>0</v>
      </c>
      <c r="V26" s="122">
        <f t="shared" si="6"/>
        <v>112</v>
      </c>
      <c r="W26" s="124">
        <f t="shared" si="7"/>
        <v>0</v>
      </c>
    </row>
    <row r="27" spans="1:23" x14ac:dyDescent="0.2">
      <c r="A27" s="8">
        <f t="shared" si="8"/>
        <v>44762</v>
      </c>
      <c r="B27" s="9"/>
      <c r="C27" s="9"/>
      <c r="D27" s="3" t="str">
        <f t="shared" si="0"/>
        <v/>
      </c>
      <c r="E27" s="4">
        <f t="shared" si="1"/>
        <v>0</v>
      </c>
      <c r="F27" s="5">
        <f t="shared" si="2"/>
        <v>0</v>
      </c>
      <c r="G27" s="146"/>
      <c r="H27" s="147"/>
      <c r="I27" s="148"/>
      <c r="J27" s="9"/>
      <c r="K27" s="9"/>
      <c r="L27" s="10"/>
      <c r="M27" s="7">
        <f t="shared" si="3"/>
        <v>0</v>
      </c>
      <c r="N27" s="44" t="str">
        <f t="shared" ca="1" si="4"/>
        <v/>
      </c>
      <c r="O27" s="45"/>
      <c r="P27" s="56"/>
      <c r="Q27" s="56"/>
      <c r="R27" s="56"/>
      <c r="S27" s="56"/>
      <c r="T27" s="56"/>
      <c r="U27" s="122">
        <f t="shared" si="5"/>
        <v>1</v>
      </c>
      <c r="V27" s="122">
        <f t="shared" si="6"/>
        <v>120</v>
      </c>
      <c r="W27" s="124">
        <f t="shared" si="7"/>
        <v>0</v>
      </c>
    </row>
    <row r="28" spans="1:23" x14ac:dyDescent="0.2">
      <c r="A28" s="8">
        <f t="shared" si="8"/>
        <v>44763</v>
      </c>
      <c r="B28" s="9"/>
      <c r="C28" s="9"/>
      <c r="D28" s="3" t="str">
        <f t="shared" si="0"/>
        <v/>
      </c>
      <c r="E28" s="4">
        <f t="shared" si="1"/>
        <v>0</v>
      </c>
      <c r="F28" s="5">
        <f t="shared" si="2"/>
        <v>0</v>
      </c>
      <c r="G28" s="146"/>
      <c r="H28" s="147"/>
      <c r="I28" s="148"/>
      <c r="J28" s="9"/>
      <c r="K28" s="9"/>
      <c r="L28" s="10"/>
      <c r="M28" s="7">
        <f t="shared" si="3"/>
        <v>0</v>
      </c>
      <c r="N28" s="44" t="str">
        <f t="shared" ca="1" si="4"/>
        <v/>
      </c>
      <c r="O28" s="45"/>
      <c r="P28" s="56"/>
      <c r="Q28" s="56"/>
      <c r="R28" s="56"/>
      <c r="S28" s="56"/>
      <c r="T28" s="56"/>
      <c r="U28" s="122">
        <f t="shared" si="5"/>
        <v>2</v>
      </c>
      <c r="V28" s="122">
        <f t="shared" si="6"/>
        <v>128</v>
      </c>
      <c r="W28" s="124">
        <f t="shared" si="7"/>
        <v>0</v>
      </c>
    </row>
    <row r="29" spans="1:23" x14ac:dyDescent="0.2">
      <c r="A29" s="8">
        <f t="shared" si="8"/>
        <v>44764</v>
      </c>
      <c r="B29" s="9"/>
      <c r="C29" s="9"/>
      <c r="D29" s="3" t="str">
        <f t="shared" si="0"/>
        <v/>
      </c>
      <c r="E29" s="4">
        <f t="shared" si="1"/>
        <v>0</v>
      </c>
      <c r="F29" s="5">
        <f t="shared" si="2"/>
        <v>0</v>
      </c>
      <c r="G29" s="146"/>
      <c r="H29" s="147"/>
      <c r="I29" s="148"/>
      <c r="J29" s="9"/>
      <c r="K29" s="9"/>
      <c r="L29" s="10"/>
      <c r="M29" s="7">
        <f t="shared" si="3"/>
        <v>0</v>
      </c>
      <c r="N29" s="44" t="str">
        <f t="shared" ca="1" si="4"/>
        <v/>
      </c>
      <c r="O29" s="45"/>
      <c r="P29" s="56"/>
      <c r="Q29" s="56"/>
      <c r="R29" s="56"/>
      <c r="S29" s="56"/>
      <c r="T29" s="56"/>
      <c r="U29" s="122">
        <f t="shared" si="5"/>
        <v>3</v>
      </c>
      <c r="V29" s="122">
        <f t="shared" si="6"/>
        <v>136</v>
      </c>
      <c r="W29" s="124">
        <f t="shared" si="7"/>
        <v>0</v>
      </c>
    </row>
    <row r="30" spans="1:23" x14ac:dyDescent="0.2">
      <c r="A30" s="8">
        <f t="shared" si="8"/>
        <v>44765</v>
      </c>
      <c r="B30" s="9"/>
      <c r="C30" s="9"/>
      <c r="D30" s="3" t="str">
        <f t="shared" si="0"/>
        <v/>
      </c>
      <c r="E30" s="4">
        <f t="shared" si="1"/>
        <v>0</v>
      </c>
      <c r="F30" s="5">
        <f t="shared" si="2"/>
        <v>0</v>
      </c>
      <c r="G30" s="146"/>
      <c r="H30" s="147"/>
      <c r="I30" s="148"/>
      <c r="J30" s="9"/>
      <c r="K30" s="9"/>
      <c r="L30" s="10"/>
      <c r="M30" s="7">
        <f t="shared" si="3"/>
        <v>0</v>
      </c>
      <c r="N30" s="44" t="str">
        <f t="shared" ca="1" si="4"/>
        <v/>
      </c>
      <c r="O30" s="45"/>
      <c r="P30" s="56"/>
      <c r="Q30" s="56"/>
      <c r="R30" s="56"/>
      <c r="S30" s="56"/>
      <c r="T30" s="56"/>
      <c r="U30" s="122">
        <f t="shared" si="5"/>
        <v>4</v>
      </c>
      <c r="V30" s="122">
        <f t="shared" si="6"/>
        <v>144</v>
      </c>
      <c r="W30" s="124">
        <f t="shared" si="7"/>
        <v>0</v>
      </c>
    </row>
    <row r="31" spans="1:23" x14ac:dyDescent="0.2">
      <c r="A31" s="8">
        <f t="shared" si="8"/>
        <v>44766</v>
      </c>
      <c r="B31" s="9"/>
      <c r="C31" s="9"/>
      <c r="D31" s="3" t="str">
        <f t="shared" si="0"/>
        <v/>
      </c>
      <c r="E31" s="4">
        <f t="shared" si="1"/>
        <v>0</v>
      </c>
      <c r="F31" s="5">
        <f t="shared" si="2"/>
        <v>0</v>
      </c>
      <c r="G31" s="146"/>
      <c r="H31" s="147"/>
      <c r="I31" s="148"/>
      <c r="J31" s="9"/>
      <c r="K31" s="9"/>
      <c r="L31" s="10"/>
      <c r="M31" s="7">
        <f t="shared" si="3"/>
        <v>0</v>
      </c>
      <c r="N31" s="44" t="str">
        <f t="shared" ca="1" si="4"/>
        <v/>
      </c>
      <c r="O31" s="45"/>
      <c r="P31" s="56"/>
      <c r="Q31" s="56"/>
      <c r="R31" s="56"/>
      <c r="S31" s="56"/>
      <c r="T31" s="56"/>
      <c r="U31" s="122">
        <f t="shared" si="5"/>
        <v>5</v>
      </c>
      <c r="V31" s="122">
        <f t="shared" si="6"/>
        <v>144</v>
      </c>
      <c r="W31" s="124">
        <f t="shared" si="7"/>
        <v>0</v>
      </c>
    </row>
    <row r="32" spans="1:23" x14ac:dyDescent="0.2">
      <c r="A32" s="8">
        <f t="shared" si="8"/>
        <v>44767</v>
      </c>
      <c r="B32" s="9"/>
      <c r="C32" s="9"/>
      <c r="D32" s="3" t="str">
        <f t="shared" si="0"/>
        <v/>
      </c>
      <c r="E32" s="4">
        <f t="shared" si="1"/>
        <v>0</v>
      </c>
      <c r="F32" s="5">
        <f t="shared" si="2"/>
        <v>0</v>
      </c>
      <c r="G32" s="146"/>
      <c r="H32" s="147"/>
      <c r="I32" s="148"/>
      <c r="J32" s="9"/>
      <c r="K32" s="9"/>
      <c r="L32" s="10"/>
      <c r="M32" s="7">
        <f t="shared" si="3"/>
        <v>0</v>
      </c>
      <c r="N32" s="44" t="str">
        <f t="shared" ca="1" si="4"/>
        <v/>
      </c>
      <c r="O32" s="45"/>
      <c r="P32" s="56"/>
      <c r="Q32" s="56"/>
      <c r="R32" s="56"/>
      <c r="S32" s="56"/>
      <c r="T32" s="56"/>
      <c r="U32" s="122">
        <f t="shared" si="5"/>
        <v>6</v>
      </c>
      <c r="V32" s="122">
        <f t="shared" si="6"/>
        <v>144</v>
      </c>
      <c r="W32" s="124">
        <f t="shared" si="7"/>
        <v>0</v>
      </c>
    </row>
    <row r="33" spans="1:23" x14ac:dyDescent="0.2">
      <c r="A33" s="8">
        <f t="shared" si="8"/>
        <v>44768</v>
      </c>
      <c r="B33" s="9"/>
      <c r="C33" s="9"/>
      <c r="D33" s="3" t="str">
        <f t="shared" si="0"/>
        <v/>
      </c>
      <c r="E33" s="4">
        <f t="shared" si="1"/>
        <v>0</v>
      </c>
      <c r="F33" s="5">
        <f t="shared" si="2"/>
        <v>0</v>
      </c>
      <c r="G33" s="146"/>
      <c r="H33" s="147"/>
      <c r="I33" s="148"/>
      <c r="J33" s="9"/>
      <c r="K33" s="9"/>
      <c r="L33" s="10"/>
      <c r="M33" s="7">
        <f t="shared" si="3"/>
        <v>0</v>
      </c>
      <c r="N33" s="44" t="str">
        <f t="shared" ca="1" si="4"/>
        <v/>
      </c>
      <c r="O33" s="45"/>
      <c r="P33" s="56"/>
      <c r="Q33" s="56"/>
      <c r="R33" s="56"/>
      <c r="S33" s="56"/>
      <c r="T33" s="56"/>
      <c r="U33" s="122">
        <f t="shared" si="5"/>
        <v>0</v>
      </c>
      <c r="V33" s="122">
        <f t="shared" si="6"/>
        <v>152</v>
      </c>
      <c r="W33" s="124">
        <f t="shared" si="7"/>
        <v>0</v>
      </c>
    </row>
    <row r="34" spans="1:23" x14ac:dyDescent="0.2">
      <c r="A34" s="8">
        <f t="shared" si="8"/>
        <v>44769</v>
      </c>
      <c r="B34" s="9"/>
      <c r="C34" s="9"/>
      <c r="D34" s="3" t="str">
        <f t="shared" si="0"/>
        <v/>
      </c>
      <c r="E34" s="4">
        <f t="shared" si="1"/>
        <v>0</v>
      </c>
      <c r="F34" s="5">
        <f t="shared" si="2"/>
        <v>0</v>
      </c>
      <c r="G34" s="146"/>
      <c r="H34" s="147"/>
      <c r="I34" s="148"/>
      <c r="J34" s="9"/>
      <c r="K34" s="9"/>
      <c r="L34" s="10"/>
      <c r="M34" s="7">
        <f t="shared" si="3"/>
        <v>0</v>
      </c>
      <c r="N34" s="44" t="str">
        <f t="shared" ca="1" si="4"/>
        <v/>
      </c>
      <c r="O34" s="45"/>
      <c r="P34" s="56"/>
      <c r="Q34" s="56"/>
      <c r="R34" s="56"/>
      <c r="S34" s="56"/>
      <c r="T34" s="56"/>
      <c r="U34" s="122">
        <f t="shared" si="5"/>
        <v>1</v>
      </c>
      <c r="V34" s="122">
        <f t="shared" si="6"/>
        <v>160</v>
      </c>
      <c r="W34" s="124">
        <f t="shared" si="7"/>
        <v>0</v>
      </c>
    </row>
    <row r="35" spans="1:23" x14ac:dyDescent="0.2">
      <c r="A35" s="8">
        <f t="shared" si="8"/>
        <v>44770</v>
      </c>
      <c r="B35" s="9"/>
      <c r="C35" s="9"/>
      <c r="D35" s="3" t="str">
        <f t="shared" si="0"/>
        <v/>
      </c>
      <c r="E35" s="4">
        <f t="shared" si="1"/>
        <v>0</v>
      </c>
      <c r="F35" s="5">
        <f t="shared" si="2"/>
        <v>0</v>
      </c>
      <c r="G35" s="146"/>
      <c r="H35" s="147"/>
      <c r="I35" s="148"/>
      <c r="J35" s="9"/>
      <c r="K35" s="9"/>
      <c r="L35" s="10"/>
      <c r="M35" s="7">
        <f t="shared" si="3"/>
        <v>0</v>
      </c>
      <c r="N35" s="44" t="str">
        <f t="shared" ca="1" si="4"/>
        <v/>
      </c>
      <c r="O35" s="45"/>
      <c r="P35" s="56"/>
      <c r="Q35" s="56"/>
      <c r="R35" s="56"/>
      <c r="S35" s="56"/>
      <c r="T35" s="56"/>
      <c r="U35" s="122">
        <f t="shared" si="5"/>
        <v>2</v>
      </c>
      <c r="V35" s="122">
        <f t="shared" si="6"/>
        <v>168</v>
      </c>
      <c r="W35" s="124">
        <f t="shared" si="7"/>
        <v>0</v>
      </c>
    </row>
    <row r="36" spans="1:23" x14ac:dyDescent="0.2">
      <c r="A36" s="8">
        <f t="shared" si="8"/>
        <v>44771</v>
      </c>
      <c r="B36" s="9"/>
      <c r="C36" s="9"/>
      <c r="D36" s="3" t="str">
        <f t="shared" si="0"/>
        <v/>
      </c>
      <c r="E36" s="4">
        <f t="shared" si="1"/>
        <v>0</v>
      </c>
      <c r="F36" s="5">
        <f t="shared" si="2"/>
        <v>0</v>
      </c>
      <c r="G36" s="146"/>
      <c r="H36" s="147"/>
      <c r="I36" s="148"/>
      <c r="J36" s="9"/>
      <c r="K36" s="9"/>
      <c r="L36" s="10"/>
      <c r="M36" s="7">
        <f t="shared" si="3"/>
        <v>0</v>
      </c>
      <c r="N36" s="44" t="str">
        <f t="shared" ca="1" si="4"/>
        <v/>
      </c>
      <c r="O36" s="45"/>
      <c r="P36" s="56"/>
      <c r="Q36" s="56"/>
      <c r="R36" s="56"/>
      <c r="S36" s="56"/>
      <c r="T36" s="56"/>
      <c r="U36" s="122">
        <f t="shared" si="5"/>
        <v>3</v>
      </c>
      <c r="V36" s="122">
        <f t="shared" si="6"/>
        <v>176</v>
      </c>
      <c r="W36" s="124">
        <f t="shared" si="7"/>
        <v>0</v>
      </c>
    </row>
    <row r="37" spans="1:23" x14ac:dyDescent="0.2">
      <c r="A37" s="8">
        <f t="shared" si="8"/>
        <v>44772</v>
      </c>
      <c r="B37" s="9"/>
      <c r="C37" s="9"/>
      <c r="D37" s="3" t="str">
        <f t="shared" si="0"/>
        <v/>
      </c>
      <c r="E37" s="4">
        <f t="shared" si="1"/>
        <v>0</v>
      </c>
      <c r="F37" s="5">
        <f t="shared" si="2"/>
        <v>0</v>
      </c>
      <c r="G37" s="146"/>
      <c r="H37" s="147"/>
      <c r="I37" s="148"/>
      <c r="J37" s="9"/>
      <c r="K37" s="9"/>
      <c r="L37" s="10"/>
      <c r="M37" s="7">
        <f t="shared" si="3"/>
        <v>0</v>
      </c>
      <c r="N37" s="44" t="str">
        <f t="shared" ca="1" si="4"/>
        <v/>
      </c>
      <c r="O37" s="45"/>
      <c r="P37" s="56"/>
      <c r="Q37" s="56"/>
      <c r="R37" s="56"/>
      <c r="S37" s="56"/>
      <c r="T37" s="56"/>
      <c r="U37" s="122">
        <f t="shared" si="5"/>
        <v>4</v>
      </c>
      <c r="V37" s="122">
        <f t="shared" si="6"/>
        <v>184</v>
      </c>
      <c r="W37" s="124">
        <f t="shared" si="7"/>
        <v>0</v>
      </c>
    </row>
    <row r="38" spans="1:23" x14ac:dyDescent="0.2">
      <c r="A38" s="12"/>
      <c r="G38" s="54"/>
      <c r="H38" s="54"/>
      <c r="I38" s="54"/>
      <c r="J38" s="55"/>
      <c r="K38" s="55"/>
      <c r="L38" s="54"/>
      <c r="P38" s="57">
        <f>SUM(P7:P37)</f>
        <v>0</v>
      </c>
      <c r="Q38" s="57">
        <f>SUM(Q7:Q37)</f>
        <v>0</v>
      </c>
      <c r="R38" s="57">
        <f>SUM(R7:R37)</f>
        <v>0</v>
      </c>
      <c r="S38" s="57">
        <f>SUM(S7:S37)</f>
        <v>0</v>
      </c>
      <c r="T38" s="57">
        <f>SUM(T7:T37)</f>
        <v>0</v>
      </c>
    </row>
    <row r="40" spans="1:23" x14ac:dyDescent="0.2">
      <c r="A40" s="13" t="str">
        <f>Blankettinfo</f>
        <v>Version 4.6 © LiU 2025-12-03</v>
      </c>
    </row>
  </sheetData>
  <mergeCells count="35">
    <mergeCell ref="G36:I36"/>
    <mergeCell ref="G27:I27"/>
    <mergeCell ref="G23:I23"/>
    <mergeCell ref="G8:I8"/>
    <mergeCell ref="G17:I17"/>
    <mergeCell ref="G37:I37"/>
    <mergeCell ref="G18:I18"/>
    <mergeCell ref="G34:I34"/>
    <mergeCell ref="G30:I30"/>
    <mergeCell ref="G15:I15"/>
    <mergeCell ref="G33:I33"/>
    <mergeCell ref="G24:I24"/>
    <mergeCell ref="G35:I35"/>
    <mergeCell ref="G20:I20"/>
    <mergeCell ref="G26:I26"/>
    <mergeCell ref="G29:I29"/>
    <mergeCell ref="G25:I25"/>
    <mergeCell ref="G16:I16"/>
    <mergeCell ref="G32:I32"/>
    <mergeCell ref="G22:I22"/>
    <mergeCell ref="G31:I31"/>
    <mergeCell ref="G10:I10"/>
    <mergeCell ref="G28:I28"/>
    <mergeCell ref="G19:I19"/>
    <mergeCell ref="G13:I13"/>
    <mergeCell ref="B1:D1"/>
    <mergeCell ref="G14:I14"/>
    <mergeCell ref="G9:I9"/>
    <mergeCell ref="G12:I12"/>
    <mergeCell ref="G21:I21"/>
    <mergeCell ref="G11:I11"/>
    <mergeCell ref="B3:D3"/>
    <mergeCell ref="G7:I7"/>
    <mergeCell ref="B4:C4"/>
    <mergeCell ref="B2:D2"/>
  </mergeCells>
  <conditionalFormatting sqref="A7:M37">
    <cfRule type="expression" dxfId="17" priority="1" stopIfTrue="1">
      <formula>$U7&gt;4</formula>
    </cfRule>
  </conditionalFormatting>
  <conditionalFormatting sqref="N7:N37">
    <cfRule type="cellIs" dxfId="16" priority="2" stopIfTrue="1" operator="greaterThanOrEqual">
      <formula>0</formula>
    </cfRule>
    <cfRule type="cellIs" dxfId="15" priority="3" stopIfTrue="1" operator="lessThan">
      <formula>0</formula>
    </cfRule>
  </conditionalFormatting>
  <dataValidations count="3">
    <dataValidation type="list" allowBlank="1" showInputMessage="1" showErrorMessage="1" sqref="L7:L37" xr:uid="{00000000-0002-0000-0900-000000000000}">
      <formula1>"+,-"</formula1>
    </dataValidation>
    <dataValidation type="time" allowBlank="1" showInputMessage="1" showErrorMessage="1" errorTitle="Fel tidsformat" error="Ange tid som timmar och minuter med kolon som skiljetecken - till exempel 9:30 för klockan halv tio på förmiddagen." sqref="B7:C37 J7:K37" xr:uid="{00000000-0002-0000-0900-000001000000}">
      <formula1>0</formula1>
      <formula2>0.999988425925926</formula2>
    </dataValidation>
    <dataValidation type="time" allowBlank="1" showInputMessage="1" showErrorMessage="1" errorTitle="Fel tidsformat" error="Lunchen måste vara minst 30 minuter - tiden anges med timmar och minuter, till exempel 0:45 för trekvarts timmes lunch." promptTitle="Lunchrast" prompt="Lunchen anges som 30 minuter när &quot;Slutar&quot;-tiden fyllts i. Ändra manuellt om lunchen är längre än 30 minuter." sqref="D7:D37" xr:uid="{00000000-0002-0000-0900-000002000000}">
      <formula1>0.0208217592592593</formula1>
      <formula2>0.333333333333333</formula2>
    </dataValidation>
  </dataValidations>
  <pageMargins left="0.74803149606299213" right="0.74803149606299213" top="0.98425196850393704" bottom="0.98425196850393704" header="0.51181102362204722" footer="0.51181102362204722"/>
  <pageSetup paperSize="9" scale="64" orientation="landscape"/>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Blad7">
    <pageSetUpPr fitToPage="1"/>
  </sheetPr>
  <dimension ref="A1:Y40"/>
  <sheetViews>
    <sheetView workbookViewId="0"/>
  </sheetViews>
  <sheetFormatPr baseColWidth="10" defaultColWidth="9.140625" defaultRowHeight="15" x14ac:dyDescent="0.2"/>
  <cols>
    <col min="1" max="1" width="8.7109375" style="13" customWidth="1"/>
    <col min="2" max="5" width="10.7109375" style="13" customWidth="1"/>
    <col min="6" max="9" width="10.7109375" style="1" customWidth="1"/>
    <col min="10" max="11" width="8.7109375" style="11" customWidth="1"/>
    <col min="12" max="13" width="8.7109375" style="1" customWidth="1"/>
    <col min="14" max="14" width="7.7109375" style="14" customWidth="1"/>
    <col min="15" max="15" width="33.7109375" style="1" customWidth="1"/>
    <col min="16" max="20" width="10.7109375" style="1" customWidth="1"/>
    <col min="21" max="23" width="9.140625" style="122" hidden="1" customWidth="1"/>
    <col min="24" max="25" width="9.140625" style="120" customWidth="1"/>
    <col min="26" max="26" width="9.140625" style="1" customWidth="1"/>
    <col min="27" max="16384" width="9.140625" style="1"/>
  </cols>
  <sheetData>
    <row r="1" spans="1:24" x14ac:dyDescent="0.2">
      <c r="A1" s="66" t="s">
        <v>0</v>
      </c>
      <c r="B1" s="151" t="str">
        <f>Namn</f>
        <v>Håkan Stensby</v>
      </c>
      <c r="C1" s="152"/>
      <c r="D1" s="152"/>
      <c r="E1" s="47" t="s">
        <v>1</v>
      </c>
      <c r="F1" s="115">
        <f>SUM(F7:F37)</f>
        <v>0</v>
      </c>
      <c r="G1" s="51"/>
      <c r="H1" s="47" t="s">
        <v>2</v>
      </c>
      <c r="I1" s="76">
        <f>VLOOKUP(B3,översikt!A61:C72,3,FALSE)*B4</f>
        <v>168</v>
      </c>
      <c r="J1" s="77"/>
      <c r="K1" s="78"/>
      <c r="L1" s="79"/>
      <c r="M1" s="80"/>
      <c r="N1" s="80"/>
      <c r="O1" s="81"/>
      <c r="P1" s="85"/>
      <c r="Q1" s="85"/>
      <c r="R1" s="85"/>
      <c r="S1" s="85"/>
      <c r="T1" s="85"/>
    </row>
    <row r="2" spans="1:24" x14ac:dyDescent="0.2">
      <c r="A2" s="67" t="s">
        <v>3</v>
      </c>
      <c r="B2" s="161" t="str">
        <f>Pnr</f>
        <v>19770217-6418</v>
      </c>
      <c r="C2" s="154"/>
      <c r="D2" s="154"/>
      <c r="E2" s="53" t="s">
        <v>4</v>
      </c>
      <c r="F2" s="116">
        <f>VALUE(SUM(M7:M37)*24)</f>
        <v>0</v>
      </c>
      <c r="G2" s="48"/>
      <c r="H2" s="53" t="s">
        <v>5</v>
      </c>
      <c r="I2" s="82">
        <f>IF(F3=0,0,F3-I1)</f>
        <v>0</v>
      </c>
      <c r="J2" s="83"/>
      <c r="K2" s="84"/>
      <c r="L2" s="85"/>
      <c r="M2" s="86"/>
      <c r="N2" s="87"/>
      <c r="O2" s="88"/>
      <c r="P2" s="85"/>
      <c r="Q2" s="85"/>
      <c r="R2" s="85"/>
      <c r="S2" s="85"/>
      <c r="T2" s="85"/>
    </row>
    <row r="3" spans="1:24" x14ac:dyDescent="0.2">
      <c r="A3" s="67" t="s">
        <v>6</v>
      </c>
      <c r="B3" s="155">
        <f>översikt!A68</f>
        <v>44773</v>
      </c>
      <c r="C3" s="154"/>
      <c r="D3" s="154"/>
      <c r="E3" s="53" t="s">
        <v>7</v>
      </c>
      <c r="F3" s="116">
        <f>F1+F2</f>
        <v>0</v>
      </c>
      <c r="G3" s="49"/>
      <c r="H3" s="53" t="s">
        <v>8</v>
      </c>
      <c r="I3" s="82" t="str">
        <f ca="1">juli!I4</f>
        <v>-</v>
      </c>
      <c r="J3" s="84"/>
      <c r="K3" s="85"/>
      <c r="L3" s="85"/>
      <c r="M3" s="89"/>
      <c r="N3" s="87"/>
      <c r="O3" s="88"/>
      <c r="P3" s="85"/>
      <c r="Q3" s="85"/>
      <c r="R3" s="85"/>
      <c r="S3" s="85"/>
      <c r="T3" s="85"/>
      <c r="W3" s="123"/>
    </row>
    <row r="4" spans="1:24" x14ac:dyDescent="0.2">
      <c r="A4" s="67" t="s">
        <v>9</v>
      </c>
      <c r="B4" s="159">
        <f>Tjgrad</f>
        <v>1</v>
      </c>
      <c r="C4" s="160"/>
      <c r="D4" s="52"/>
      <c r="E4" s="53" t="s">
        <v>10</v>
      </c>
      <c r="F4" s="50"/>
      <c r="G4" s="49"/>
      <c r="H4" s="53" t="s">
        <v>11</v>
      </c>
      <c r="I4" s="131" t="str">
        <f ca="1">IF(N7="", "-", OFFSET(N6, COUNT(N:N), 0, 1, 1) + I3)</f>
        <v>-</v>
      </c>
      <c r="J4" s="84"/>
      <c r="K4" s="85"/>
      <c r="L4" s="85"/>
      <c r="M4" s="89"/>
      <c r="N4" s="87"/>
      <c r="O4" s="88"/>
      <c r="P4" s="90" t="s">
        <v>12</v>
      </c>
      <c r="Q4" s="85"/>
      <c r="R4" s="85"/>
      <c r="S4" s="85"/>
      <c r="T4" s="85"/>
    </row>
    <row r="5" spans="1:24" x14ac:dyDescent="0.2">
      <c r="A5" s="68"/>
      <c r="B5" s="70" t="s">
        <v>13</v>
      </c>
      <c r="C5" s="70"/>
      <c r="D5" s="70"/>
      <c r="E5" s="70"/>
      <c r="F5" s="70"/>
      <c r="G5" s="70"/>
      <c r="H5" s="70"/>
      <c r="I5" s="70"/>
      <c r="J5" s="70" t="s">
        <v>14</v>
      </c>
      <c r="K5" s="70"/>
      <c r="L5" s="70"/>
      <c r="M5" s="70"/>
      <c r="N5" s="71" t="s">
        <v>15</v>
      </c>
      <c r="O5" s="72"/>
      <c r="P5" s="91" t="s">
        <v>16</v>
      </c>
      <c r="Q5" s="70"/>
      <c r="R5" s="70"/>
      <c r="S5" s="70"/>
      <c r="T5" s="70"/>
      <c r="U5" s="122" t="s">
        <v>17</v>
      </c>
      <c r="V5" s="122" t="s">
        <v>18</v>
      </c>
      <c r="W5" s="122" t="s">
        <v>19</v>
      </c>
    </row>
    <row r="6" spans="1:24" x14ac:dyDescent="0.2">
      <c r="A6" s="69" t="s">
        <v>17</v>
      </c>
      <c r="B6" s="73" t="s">
        <v>20</v>
      </c>
      <c r="C6" s="73" t="s">
        <v>21</v>
      </c>
      <c r="D6" s="73" t="s">
        <v>22</v>
      </c>
      <c r="E6" s="73" t="s">
        <v>23</v>
      </c>
      <c r="F6" s="73" t="s">
        <v>24</v>
      </c>
      <c r="G6" s="73" t="s">
        <v>25</v>
      </c>
      <c r="H6" s="73"/>
      <c r="I6" s="73"/>
      <c r="J6" s="73" t="s">
        <v>26</v>
      </c>
      <c r="K6" s="73" t="s">
        <v>27</v>
      </c>
      <c r="L6" s="73" t="s">
        <v>28</v>
      </c>
      <c r="M6" s="73" t="s">
        <v>29</v>
      </c>
      <c r="N6" s="74" t="s">
        <v>30</v>
      </c>
      <c r="O6" s="75" t="s">
        <v>31</v>
      </c>
      <c r="P6" s="113"/>
      <c r="Q6" s="113"/>
      <c r="R6" s="113"/>
      <c r="S6" s="113"/>
      <c r="T6" s="113"/>
    </row>
    <row r="7" spans="1:24" x14ac:dyDescent="0.2">
      <c r="A7" s="2">
        <f>B3</f>
        <v>44773</v>
      </c>
      <c r="B7" s="3"/>
      <c r="C7" s="3"/>
      <c r="D7" s="3" t="str">
        <f t="shared" ref="D7:D37" si="0">IF(C7="","",0.5/24)</f>
        <v/>
      </c>
      <c r="E7" s="4">
        <f t="shared" ref="E7:E37" si="1">IF(C7="",0,C7-B7-D7)</f>
        <v>0</v>
      </c>
      <c r="F7" s="5">
        <f t="shared" ref="F7:F37" si="2">IF(E7="","",VALUE(E7)*24)</f>
        <v>0</v>
      </c>
      <c r="G7" s="156"/>
      <c r="H7" s="157"/>
      <c r="I7" s="158"/>
      <c r="J7" s="3"/>
      <c r="K7" s="3"/>
      <c r="L7" s="6"/>
      <c r="M7" s="7">
        <f t="shared" ref="M7:M37" si="3">IF(OR(G7="Semester",G7="Sjuk",G7="Vård av barn"),8/24*$B$4,IF(L7="+",K7-J7,IF(L7="-",(K7-J7)*-1,0)))</f>
        <v>0</v>
      </c>
      <c r="N7" s="42" t="str">
        <f t="shared" ref="N7:N37" ca="1" si="4">IF(Dagen&gt;A7,W7-V7,"")</f>
        <v/>
      </c>
      <c r="O7" s="43"/>
      <c r="P7" s="56"/>
      <c r="Q7" s="56"/>
      <c r="R7" s="56"/>
      <c r="S7" s="56"/>
      <c r="T7" s="56"/>
      <c r="U7" s="125">
        <f t="shared" ref="U7:U37" si="5">IF(A7="",0,WEEKDAY(A7,3))</f>
        <v>5</v>
      </c>
      <c r="V7" s="122">
        <f t="shared" ref="V7:V37" si="6">IF(U7&gt;4,V6,V6+$B$4*8)</f>
        <v>0</v>
      </c>
      <c r="W7" s="124">
        <f t="shared" ref="W7:W37" si="7">VALUE(E7)*24+VALUE(M7)*24+W6</f>
        <v>0</v>
      </c>
    </row>
    <row r="8" spans="1:24" x14ac:dyDescent="0.2">
      <c r="A8" s="8">
        <f t="shared" ref="A8:A37" si="8">A7+1</f>
        <v>44774</v>
      </c>
      <c r="B8" s="9"/>
      <c r="C8" s="9"/>
      <c r="D8" s="3" t="str">
        <f t="shared" si="0"/>
        <v/>
      </c>
      <c r="E8" s="4">
        <f t="shared" si="1"/>
        <v>0</v>
      </c>
      <c r="F8" s="5">
        <f t="shared" si="2"/>
        <v>0</v>
      </c>
      <c r="G8" s="146"/>
      <c r="H8" s="147"/>
      <c r="I8" s="148"/>
      <c r="J8" s="9"/>
      <c r="K8" s="9"/>
      <c r="L8" s="10"/>
      <c r="M8" s="7">
        <f t="shared" si="3"/>
        <v>0</v>
      </c>
      <c r="N8" s="44" t="str">
        <f t="shared" ca="1" si="4"/>
        <v/>
      </c>
      <c r="O8" s="45"/>
      <c r="P8" s="56"/>
      <c r="Q8" s="56"/>
      <c r="R8" s="56"/>
      <c r="S8" s="56"/>
      <c r="T8" s="56"/>
      <c r="U8" s="122">
        <f t="shared" si="5"/>
        <v>6</v>
      </c>
      <c r="V8" s="122">
        <f t="shared" si="6"/>
        <v>0</v>
      </c>
      <c r="W8" s="124">
        <f t="shared" si="7"/>
        <v>0</v>
      </c>
      <c r="X8" s="121"/>
    </row>
    <row r="9" spans="1:24" x14ac:dyDescent="0.2">
      <c r="A9" s="8">
        <f t="shared" si="8"/>
        <v>44775</v>
      </c>
      <c r="B9" s="9"/>
      <c r="C9" s="9"/>
      <c r="D9" s="3" t="str">
        <f t="shared" si="0"/>
        <v/>
      </c>
      <c r="E9" s="4">
        <f t="shared" si="1"/>
        <v>0</v>
      </c>
      <c r="F9" s="5">
        <f t="shared" si="2"/>
        <v>0</v>
      </c>
      <c r="G9" s="146"/>
      <c r="H9" s="147"/>
      <c r="I9" s="148"/>
      <c r="J9" s="9"/>
      <c r="K9" s="9"/>
      <c r="L9" s="10"/>
      <c r="M9" s="7">
        <f t="shared" si="3"/>
        <v>0</v>
      </c>
      <c r="N9" s="44" t="str">
        <f t="shared" ca="1" si="4"/>
        <v/>
      </c>
      <c r="O9" s="45"/>
      <c r="P9" s="56"/>
      <c r="Q9" s="56"/>
      <c r="R9" s="56"/>
      <c r="S9" s="56"/>
      <c r="T9" s="56"/>
      <c r="U9" s="122">
        <f t="shared" si="5"/>
        <v>0</v>
      </c>
      <c r="V9" s="122">
        <f t="shared" si="6"/>
        <v>8</v>
      </c>
      <c r="W9" s="124">
        <f t="shared" si="7"/>
        <v>0</v>
      </c>
      <c r="X9" s="121"/>
    </row>
    <row r="10" spans="1:24" x14ac:dyDescent="0.2">
      <c r="A10" s="8">
        <f t="shared" si="8"/>
        <v>44776</v>
      </c>
      <c r="B10" s="9"/>
      <c r="C10" s="9"/>
      <c r="D10" s="3" t="str">
        <f t="shared" si="0"/>
        <v/>
      </c>
      <c r="E10" s="4">
        <f t="shared" si="1"/>
        <v>0</v>
      </c>
      <c r="F10" s="5">
        <f t="shared" si="2"/>
        <v>0</v>
      </c>
      <c r="G10" s="167"/>
      <c r="H10" s="168"/>
      <c r="I10" s="169"/>
      <c r="J10" s="34"/>
      <c r="K10" s="34"/>
      <c r="L10" s="35"/>
      <c r="M10" s="7">
        <f t="shared" si="3"/>
        <v>0</v>
      </c>
      <c r="N10" s="44" t="str">
        <f t="shared" ca="1" si="4"/>
        <v/>
      </c>
      <c r="O10" s="45"/>
      <c r="P10" s="56"/>
      <c r="Q10" s="56"/>
      <c r="R10" s="56"/>
      <c r="S10" s="56"/>
      <c r="T10" s="56"/>
      <c r="U10" s="122">
        <f t="shared" si="5"/>
        <v>1</v>
      </c>
      <c r="V10" s="122">
        <f t="shared" si="6"/>
        <v>16</v>
      </c>
      <c r="W10" s="124">
        <f t="shared" si="7"/>
        <v>0</v>
      </c>
      <c r="X10" s="121"/>
    </row>
    <row r="11" spans="1:24" x14ac:dyDescent="0.2">
      <c r="A11" s="8">
        <f t="shared" si="8"/>
        <v>44777</v>
      </c>
      <c r="B11" s="9"/>
      <c r="C11" s="9"/>
      <c r="D11" s="3" t="str">
        <f t="shared" si="0"/>
        <v/>
      </c>
      <c r="E11" s="4">
        <f t="shared" si="1"/>
        <v>0</v>
      </c>
      <c r="F11" s="5">
        <f t="shared" si="2"/>
        <v>0</v>
      </c>
      <c r="G11" s="146"/>
      <c r="H11" s="147"/>
      <c r="I11" s="148"/>
      <c r="J11" s="9"/>
      <c r="K11" s="9"/>
      <c r="L11" s="10"/>
      <c r="M11" s="7">
        <f t="shared" si="3"/>
        <v>0</v>
      </c>
      <c r="N11" s="44" t="str">
        <f t="shared" ca="1" si="4"/>
        <v/>
      </c>
      <c r="O11" s="45"/>
      <c r="P11" s="56"/>
      <c r="Q11" s="56"/>
      <c r="R11" s="56"/>
      <c r="S11" s="56"/>
      <c r="T11" s="56"/>
      <c r="U11" s="122">
        <f t="shared" si="5"/>
        <v>2</v>
      </c>
      <c r="V11" s="125">
        <f t="shared" si="6"/>
        <v>24</v>
      </c>
      <c r="W11" s="124">
        <f t="shared" si="7"/>
        <v>0</v>
      </c>
      <c r="X11" s="121"/>
    </row>
    <row r="12" spans="1:24" x14ac:dyDescent="0.2">
      <c r="A12" s="8">
        <f t="shared" si="8"/>
        <v>44778</v>
      </c>
      <c r="B12" s="9"/>
      <c r="C12" s="9"/>
      <c r="D12" s="3" t="str">
        <f t="shared" si="0"/>
        <v/>
      </c>
      <c r="E12" s="4">
        <f t="shared" si="1"/>
        <v>0</v>
      </c>
      <c r="F12" s="5">
        <f t="shared" si="2"/>
        <v>0</v>
      </c>
      <c r="G12" s="156"/>
      <c r="H12" s="157"/>
      <c r="I12" s="158"/>
      <c r="J12" s="3"/>
      <c r="K12" s="3"/>
      <c r="L12" s="6"/>
      <c r="M12" s="7">
        <f t="shared" si="3"/>
        <v>0</v>
      </c>
      <c r="N12" s="44" t="str">
        <f t="shared" ca="1" si="4"/>
        <v/>
      </c>
      <c r="O12" s="45"/>
      <c r="P12" s="56"/>
      <c r="Q12" s="56"/>
      <c r="R12" s="56"/>
      <c r="S12" s="56"/>
      <c r="T12" s="56"/>
      <c r="U12" s="125">
        <f t="shared" si="5"/>
        <v>3</v>
      </c>
      <c r="V12" s="122">
        <f t="shared" si="6"/>
        <v>32</v>
      </c>
      <c r="W12" s="124">
        <f t="shared" si="7"/>
        <v>0</v>
      </c>
      <c r="X12" s="121"/>
    </row>
    <row r="13" spans="1:24" x14ac:dyDescent="0.2">
      <c r="A13" s="8">
        <f t="shared" si="8"/>
        <v>44779</v>
      </c>
      <c r="B13" s="9"/>
      <c r="C13" s="9"/>
      <c r="D13" s="3" t="str">
        <f t="shared" si="0"/>
        <v/>
      </c>
      <c r="E13" s="4">
        <f t="shared" si="1"/>
        <v>0</v>
      </c>
      <c r="F13" s="5">
        <f t="shared" si="2"/>
        <v>0</v>
      </c>
      <c r="G13" s="146"/>
      <c r="H13" s="147"/>
      <c r="I13" s="148"/>
      <c r="J13" s="9"/>
      <c r="K13" s="9"/>
      <c r="L13" s="10"/>
      <c r="M13" s="7">
        <f t="shared" si="3"/>
        <v>0</v>
      </c>
      <c r="N13" s="44" t="str">
        <f t="shared" ca="1" si="4"/>
        <v/>
      </c>
      <c r="O13" s="45"/>
      <c r="P13" s="56"/>
      <c r="Q13" s="56"/>
      <c r="R13" s="56"/>
      <c r="S13" s="56"/>
      <c r="T13" s="56"/>
      <c r="U13" s="122">
        <f t="shared" si="5"/>
        <v>4</v>
      </c>
      <c r="V13" s="122">
        <f t="shared" si="6"/>
        <v>40</v>
      </c>
      <c r="W13" s="124">
        <f t="shared" si="7"/>
        <v>0</v>
      </c>
      <c r="X13" s="121"/>
    </row>
    <row r="14" spans="1:24" x14ac:dyDescent="0.2">
      <c r="A14" s="8">
        <f t="shared" si="8"/>
        <v>44780</v>
      </c>
      <c r="B14" s="9"/>
      <c r="C14" s="9"/>
      <c r="D14" s="3" t="str">
        <f t="shared" si="0"/>
        <v/>
      </c>
      <c r="E14" s="4">
        <f t="shared" si="1"/>
        <v>0</v>
      </c>
      <c r="F14" s="5">
        <f t="shared" si="2"/>
        <v>0</v>
      </c>
      <c r="G14" s="146"/>
      <c r="H14" s="147"/>
      <c r="I14" s="148"/>
      <c r="J14" s="9"/>
      <c r="K14" s="9"/>
      <c r="L14" s="10"/>
      <c r="M14" s="7">
        <f t="shared" si="3"/>
        <v>0</v>
      </c>
      <c r="N14" s="44" t="str">
        <f t="shared" ca="1" si="4"/>
        <v/>
      </c>
      <c r="O14" s="45"/>
      <c r="P14" s="56"/>
      <c r="Q14" s="56"/>
      <c r="R14" s="56"/>
      <c r="S14" s="56"/>
      <c r="T14" s="56"/>
      <c r="U14" s="122">
        <f t="shared" si="5"/>
        <v>5</v>
      </c>
      <c r="V14" s="122">
        <f t="shared" si="6"/>
        <v>40</v>
      </c>
      <c r="W14" s="124">
        <f t="shared" si="7"/>
        <v>0</v>
      </c>
      <c r="X14" s="121"/>
    </row>
    <row r="15" spans="1:24" x14ac:dyDescent="0.2">
      <c r="A15" s="8">
        <f t="shared" si="8"/>
        <v>44781</v>
      </c>
      <c r="B15" s="9"/>
      <c r="C15" s="9"/>
      <c r="D15" s="3" t="str">
        <f t="shared" si="0"/>
        <v/>
      </c>
      <c r="E15" s="4">
        <f t="shared" si="1"/>
        <v>0</v>
      </c>
      <c r="F15" s="5">
        <f t="shared" si="2"/>
        <v>0</v>
      </c>
      <c r="G15" s="146"/>
      <c r="H15" s="147"/>
      <c r="I15" s="148"/>
      <c r="J15" s="9"/>
      <c r="K15" s="9"/>
      <c r="L15" s="10"/>
      <c r="M15" s="7">
        <f t="shared" si="3"/>
        <v>0</v>
      </c>
      <c r="N15" s="44" t="str">
        <f t="shared" ca="1" si="4"/>
        <v/>
      </c>
      <c r="O15" s="45"/>
      <c r="P15" s="56"/>
      <c r="Q15" s="56"/>
      <c r="R15" s="56"/>
      <c r="S15" s="56"/>
      <c r="T15" s="56"/>
      <c r="U15" s="122">
        <f t="shared" si="5"/>
        <v>6</v>
      </c>
      <c r="V15" s="122">
        <f t="shared" si="6"/>
        <v>40</v>
      </c>
      <c r="W15" s="124">
        <f t="shared" si="7"/>
        <v>0</v>
      </c>
    </row>
    <row r="16" spans="1:24" x14ac:dyDescent="0.2">
      <c r="A16" s="8">
        <f t="shared" si="8"/>
        <v>44782</v>
      </c>
      <c r="B16" s="9"/>
      <c r="C16" s="9"/>
      <c r="D16" s="3" t="str">
        <f t="shared" si="0"/>
        <v/>
      </c>
      <c r="E16" s="4">
        <f t="shared" si="1"/>
        <v>0</v>
      </c>
      <c r="F16" s="5">
        <f t="shared" si="2"/>
        <v>0</v>
      </c>
      <c r="G16" s="146"/>
      <c r="H16" s="147"/>
      <c r="I16" s="148"/>
      <c r="J16" s="9"/>
      <c r="K16" s="9"/>
      <c r="L16" s="10"/>
      <c r="M16" s="7">
        <f t="shared" si="3"/>
        <v>0</v>
      </c>
      <c r="N16" s="44" t="str">
        <f t="shared" ca="1" si="4"/>
        <v/>
      </c>
      <c r="O16" s="45"/>
      <c r="P16" s="56"/>
      <c r="Q16" s="56"/>
      <c r="R16" s="56"/>
      <c r="S16" s="56"/>
      <c r="T16" s="56"/>
      <c r="U16" s="122">
        <f t="shared" si="5"/>
        <v>0</v>
      </c>
      <c r="V16" s="122">
        <f t="shared" si="6"/>
        <v>48</v>
      </c>
      <c r="W16" s="124">
        <f t="shared" si="7"/>
        <v>0</v>
      </c>
    </row>
    <row r="17" spans="1:23" x14ac:dyDescent="0.2">
      <c r="A17" s="8">
        <f t="shared" si="8"/>
        <v>44783</v>
      </c>
      <c r="B17" s="9"/>
      <c r="C17" s="9"/>
      <c r="D17" s="3" t="str">
        <f t="shared" si="0"/>
        <v/>
      </c>
      <c r="E17" s="4">
        <f t="shared" si="1"/>
        <v>0</v>
      </c>
      <c r="F17" s="5">
        <f t="shared" si="2"/>
        <v>0</v>
      </c>
      <c r="G17" s="146"/>
      <c r="H17" s="147"/>
      <c r="I17" s="148"/>
      <c r="J17" s="9"/>
      <c r="K17" s="9"/>
      <c r="L17" s="10"/>
      <c r="M17" s="7">
        <f t="shared" si="3"/>
        <v>0</v>
      </c>
      <c r="N17" s="44" t="str">
        <f t="shared" ca="1" si="4"/>
        <v/>
      </c>
      <c r="O17" s="45"/>
      <c r="P17" s="56"/>
      <c r="Q17" s="56"/>
      <c r="R17" s="56"/>
      <c r="S17" s="56"/>
      <c r="T17" s="56"/>
      <c r="U17" s="122">
        <f t="shared" si="5"/>
        <v>1</v>
      </c>
      <c r="V17" s="122">
        <f t="shared" si="6"/>
        <v>56</v>
      </c>
      <c r="W17" s="124">
        <f t="shared" si="7"/>
        <v>0</v>
      </c>
    </row>
    <row r="18" spans="1:23" x14ac:dyDescent="0.2">
      <c r="A18" s="8">
        <f t="shared" si="8"/>
        <v>44784</v>
      </c>
      <c r="B18" s="9"/>
      <c r="C18" s="9"/>
      <c r="D18" s="3" t="str">
        <f t="shared" si="0"/>
        <v/>
      </c>
      <c r="E18" s="4">
        <f t="shared" si="1"/>
        <v>0</v>
      </c>
      <c r="F18" s="5">
        <f t="shared" si="2"/>
        <v>0</v>
      </c>
      <c r="G18" s="146"/>
      <c r="H18" s="147"/>
      <c r="I18" s="148"/>
      <c r="J18" s="9"/>
      <c r="K18" s="9"/>
      <c r="L18" s="10"/>
      <c r="M18" s="7">
        <f t="shared" si="3"/>
        <v>0</v>
      </c>
      <c r="N18" s="44" t="str">
        <f t="shared" ca="1" si="4"/>
        <v/>
      </c>
      <c r="O18" s="45"/>
      <c r="P18" s="56"/>
      <c r="Q18" s="56"/>
      <c r="R18" s="56"/>
      <c r="S18" s="56"/>
      <c r="T18" s="56"/>
      <c r="U18" s="122">
        <f t="shared" si="5"/>
        <v>2</v>
      </c>
      <c r="V18" s="122">
        <f t="shared" si="6"/>
        <v>64</v>
      </c>
      <c r="W18" s="124">
        <f t="shared" si="7"/>
        <v>0</v>
      </c>
    </row>
    <row r="19" spans="1:23" x14ac:dyDescent="0.2">
      <c r="A19" s="8">
        <f t="shared" si="8"/>
        <v>44785</v>
      </c>
      <c r="B19" s="9"/>
      <c r="C19" s="9"/>
      <c r="D19" s="3" t="str">
        <f t="shared" si="0"/>
        <v/>
      </c>
      <c r="E19" s="4">
        <f t="shared" si="1"/>
        <v>0</v>
      </c>
      <c r="F19" s="5">
        <f t="shared" si="2"/>
        <v>0</v>
      </c>
      <c r="G19" s="146"/>
      <c r="H19" s="147"/>
      <c r="I19" s="148"/>
      <c r="J19" s="9"/>
      <c r="K19" s="9"/>
      <c r="L19" s="10"/>
      <c r="M19" s="7">
        <f t="shared" si="3"/>
        <v>0</v>
      </c>
      <c r="N19" s="44" t="str">
        <f t="shared" ca="1" si="4"/>
        <v/>
      </c>
      <c r="O19" s="45"/>
      <c r="P19" s="56"/>
      <c r="Q19" s="56"/>
      <c r="R19" s="56"/>
      <c r="S19" s="56"/>
      <c r="T19" s="56"/>
      <c r="U19" s="122">
        <f t="shared" si="5"/>
        <v>3</v>
      </c>
      <c r="V19" s="122">
        <f t="shared" si="6"/>
        <v>72</v>
      </c>
      <c r="W19" s="124">
        <f t="shared" si="7"/>
        <v>0</v>
      </c>
    </row>
    <row r="20" spans="1:23" x14ac:dyDescent="0.2">
      <c r="A20" s="8">
        <f t="shared" si="8"/>
        <v>44786</v>
      </c>
      <c r="B20" s="9"/>
      <c r="C20" s="144"/>
      <c r="D20" s="3" t="str">
        <f t="shared" si="0"/>
        <v/>
      </c>
      <c r="E20" s="4">
        <f t="shared" si="1"/>
        <v>0</v>
      </c>
      <c r="F20" s="5">
        <f t="shared" si="2"/>
        <v>0</v>
      </c>
      <c r="G20" s="146"/>
      <c r="H20" s="147"/>
      <c r="I20" s="148"/>
      <c r="J20" s="9"/>
      <c r="K20" s="9"/>
      <c r="L20" s="10"/>
      <c r="M20" s="7">
        <f t="shared" si="3"/>
        <v>0</v>
      </c>
      <c r="N20" s="44" t="str">
        <f t="shared" ca="1" si="4"/>
        <v/>
      </c>
      <c r="O20" s="45"/>
      <c r="P20" s="56"/>
      <c r="Q20" s="56"/>
      <c r="R20" s="56"/>
      <c r="S20" s="56"/>
      <c r="T20" s="56"/>
      <c r="U20" s="122">
        <f t="shared" si="5"/>
        <v>4</v>
      </c>
      <c r="V20" s="122">
        <f t="shared" si="6"/>
        <v>80</v>
      </c>
      <c r="W20" s="124">
        <f t="shared" si="7"/>
        <v>0</v>
      </c>
    </row>
    <row r="21" spans="1:23" x14ac:dyDescent="0.2">
      <c r="A21" s="8">
        <f t="shared" si="8"/>
        <v>44787</v>
      </c>
      <c r="B21" s="9"/>
      <c r="C21" s="9"/>
      <c r="D21" s="3" t="str">
        <f t="shared" si="0"/>
        <v/>
      </c>
      <c r="E21" s="4">
        <f t="shared" si="1"/>
        <v>0</v>
      </c>
      <c r="F21" s="5">
        <f t="shared" si="2"/>
        <v>0</v>
      </c>
      <c r="G21" s="146"/>
      <c r="H21" s="147"/>
      <c r="I21" s="148"/>
      <c r="J21" s="9"/>
      <c r="K21" s="9"/>
      <c r="L21" s="10"/>
      <c r="M21" s="7">
        <f t="shared" si="3"/>
        <v>0</v>
      </c>
      <c r="N21" s="44" t="str">
        <f t="shared" ca="1" si="4"/>
        <v/>
      </c>
      <c r="O21" s="45"/>
      <c r="P21" s="56"/>
      <c r="Q21" s="56"/>
      <c r="R21" s="56"/>
      <c r="S21" s="56"/>
      <c r="T21" s="56"/>
      <c r="U21" s="122">
        <f t="shared" si="5"/>
        <v>5</v>
      </c>
      <c r="V21" s="122">
        <f t="shared" si="6"/>
        <v>80</v>
      </c>
      <c r="W21" s="124">
        <f t="shared" si="7"/>
        <v>0</v>
      </c>
    </row>
    <row r="22" spans="1:23" x14ac:dyDescent="0.2">
      <c r="A22" s="8">
        <f t="shared" si="8"/>
        <v>44788</v>
      </c>
      <c r="B22" s="9"/>
      <c r="C22" s="144"/>
      <c r="D22" s="3" t="str">
        <f t="shared" si="0"/>
        <v/>
      </c>
      <c r="E22" s="4">
        <f t="shared" si="1"/>
        <v>0</v>
      </c>
      <c r="F22" s="5">
        <f t="shared" si="2"/>
        <v>0</v>
      </c>
      <c r="G22" s="146"/>
      <c r="H22" s="147"/>
      <c r="I22" s="148"/>
      <c r="J22" s="9"/>
      <c r="K22" s="9"/>
      <c r="L22" s="10"/>
      <c r="M22" s="7">
        <f t="shared" si="3"/>
        <v>0</v>
      </c>
      <c r="N22" s="44" t="str">
        <f t="shared" ca="1" si="4"/>
        <v/>
      </c>
      <c r="O22" s="45"/>
      <c r="P22" s="56"/>
      <c r="Q22" s="56"/>
      <c r="R22" s="56"/>
      <c r="S22" s="56"/>
      <c r="T22" s="56"/>
      <c r="U22" s="122">
        <f t="shared" si="5"/>
        <v>6</v>
      </c>
      <c r="V22" s="122">
        <f t="shared" si="6"/>
        <v>80</v>
      </c>
      <c r="W22" s="124">
        <f t="shared" si="7"/>
        <v>0</v>
      </c>
    </row>
    <row r="23" spans="1:23" x14ac:dyDescent="0.2">
      <c r="A23" s="8">
        <f t="shared" si="8"/>
        <v>44789</v>
      </c>
      <c r="B23" s="9"/>
      <c r="C23" s="9"/>
      <c r="D23" s="3" t="str">
        <f t="shared" si="0"/>
        <v/>
      </c>
      <c r="E23" s="4">
        <f t="shared" si="1"/>
        <v>0</v>
      </c>
      <c r="F23" s="5">
        <f t="shared" si="2"/>
        <v>0</v>
      </c>
      <c r="G23" s="146"/>
      <c r="H23" s="147"/>
      <c r="I23" s="148"/>
      <c r="J23" s="9"/>
      <c r="K23" s="9"/>
      <c r="L23" s="10"/>
      <c r="M23" s="7">
        <f t="shared" si="3"/>
        <v>0</v>
      </c>
      <c r="N23" s="44" t="str">
        <f t="shared" ca="1" si="4"/>
        <v/>
      </c>
      <c r="O23" s="45"/>
      <c r="P23" s="56"/>
      <c r="Q23" s="56"/>
      <c r="R23" s="56"/>
      <c r="S23" s="56"/>
      <c r="T23" s="56"/>
      <c r="U23" s="122">
        <f t="shared" si="5"/>
        <v>0</v>
      </c>
      <c r="V23" s="122">
        <f t="shared" si="6"/>
        <v>88</v>
      </c>
      <c r="W23" s="124">
        <f t="shared" si="7"/>
        <v>0</v>
      </c>
    </row>
    <row r="24" spans="1:23" x14ac:dyDescent="0.2">
      <c r="A24" s="8">
        <f t="shared" si="8"/>
        <v>44790</v>
      </c>
      <c r="B24" s="9"/>
      <c r="C24" s="9"/>
      <c r="D24" s="3" t="str">
        <f t="shared" si="0"/>
        <v/>
      </c>
      <c r="E24" s="4">
        <f t="shared" si="1"/>
        <v>0</v>
      </c>
      <c r="F24" s="5">
        <f t="shared" si="2"/>
        <v>0</v>
      </c>
      <c r="G24" s="146"/>
      <c r="H24" s="147"/>
      <c r="I24" s="148"/>
      <c r="J24" s="9"/>
      <c r="K24" s="9"/>
      <c r="L24" s="10"/>
      <c r="M24" s="7">
        <f t="shared" si="3"/>
        <v>0</v>
      </c>
      <c r="N24" s="44" t="str">
        <f t="shared" ca="1" si="4"/>
        <v/>
      </c>
      <c r="O24" s="45"/>
      <c r="P24" s="56"/>
      <c r="Q24" s="56"/>
      <c r="R24" s="56"/>
      <c r="S24" s="56"/>
      <c r="T24" s="56"/>
      <c r="U24" s="122">
        <f t="shared" si="5"/>
        <v>1</v>
      </c>
      <c r="V24" s="122">
        <f t="shared" si="6"/>
        <v>96</v>
      </c>
      <c r="W24" s="124">
        <f t="shared" si="7"/>
        <v>0</v>
      </c>
    </row>
    <row r="25" spans="1:23" x14ac:dyDescent="0.2">
      <c r="A25" s="8">
        <f t="shared" si="8"/>
        <v>44791</v>
      </c>
      <c r="B25" s="9"/>
      <c r="C25" s="9"/>
      <c r="D25" s="3" t="str">
        <f t="shared" si="0"/>
        <v/>
      </c>
      <c r="E25" s="4">
        <f t="shared" si="1"/>
        <v>0</v>
      </c>
      <c r="F25" s="5">
        <f t="shared" si="2"/>
        <v>0</v>
      </c>
      <c r="G25" s="146"/>
      <c r="H25" s="147"/>
      <c r="I25" s="148"/>
      <c r="J25" s="9"/>
      <c r="K25" s="9"/>
      <c r="L25" s="10"/>
      <c r="M25" s="7">
        <f t="shared" si="3"/>
        <v>0</v>
      </c>
      <c r="N25" s="44" t="str">
        <f t="shared" ca="1" si="4"/>
        <v/>
      </c>
      <c r="O25" s="45"/>
      <c r="P25" s="56"/>
      <c r="Q25" s="56"/>
      <c r="R25" s="56"/>
      <c r="S25" s="56"/>
      <c r="T25" s="56"/>
      <c r="U25" s="122">
        <f t="shared" si="5"/>
        <v>2</v>
      </c>
      <c r="V25" s="122">
        <f t="shared" si="6"/>
        <v>104</v>
      </c>
      <c r="W25" s="124">
        <f t="shared" si="7"/>
        <v>0</v>
      </c>
    </row>
    <row r="26" spans="1:23" x14ac:dyDescent="0.2">
      <c r="A26" s="8">
        <f t="shared" si="8"/>
        <v>44792</v>
      </c>
      <c r="B26" s="9"/>
      <c r="C26" s="9"/>
      <c r="D26" s="3" t="str">
        <f t="shared" si="0"/>
        <v/>
      </c>
      <c r="E26" s="4">
        <f t="shared" si="1"/>
        <v>0</v>
      </c>
      <c r="F26" s="5">
        <f t="shared" si="2"/>
        <v>0</v>
      </c>
      <c r="G26" s="146"/>
      <c r="H26" s="147"/>
      <c r="I26" s="148"/>
      <c r="J26" s="9"/>
      <c r="K26" s="9"/>
      <c r="L26" s="10"/>
      <c r="M26" s="7">
        <f t="shared" si="3"/>
        <v>0</v>
      </c>
      <c r="N26" s="44" t="str">
        <f t="shared" ca="1" si="4"/>
        <v/>
      </c>
      <c r="O26" s="45"/>
      <c r="P26" s="56"/>
      <c r="Q26" s="56"/>
      <c r="R26" s="56"/>
      <c r="S26" s="56"/>
      <c r="T26" s="56"/>
      <c r="U26" s="122">
        <f t="shared" si="5"/>
        <v>3</v>
      </c>
      <c r="V26" s="122">
        <f t="shared" si="6"/>
        <v>112</v>
      </c>
      <c r="W26" s="124">
        <f t="shared" si="7"/>
        <v>0</v>
      </c>
    </row>
    <row r="27" spans="1:23" x14ac:dyDescent="0.2">
      <c r="A27" s="8">
        <f t="shared" si="8"/>
        <v>44793</v>
      </c>
      <c r="B27" s="9"/>
      <c r="C27" s="9"/>
      <c r="D27" s="3" t="str">
        <f t="shared" si="0"/>
        <v/>
      </c>
      <c r="E27" s="4">
        <f t="shared" si="1"/>
        <v>0</v>
      </c>
      <c r="F27" s="5">
        <f t="shared" si="2"/>
        <v>0</v>
      </c>
      <c r="G27" s="146"/>
      <c r="H27" s="147"/>
      <c r="I27" s="148"/>
      <c r="J27" s="9"/>
      <c r="K27" s="9"/>
      <c r="L27" s="10"/>
      <c r="M27" s="7">
        <f t="shared" si="3"/>
        <v>0</v>
      </c>
      <c r="N27" s="44" t="str">
        <f t="shared" ca="1" si="4"/>
        <v/>
      </c>
      <c r="O27" s="45"/>
      <c r="P27" s="56"/>
      <c r="Q27" s="56"/>
      <c r="R27" s="56"/>
      <c r="S27" s="56"/>
      <c r="T27" s="56"/>
      <c r="U27" s="122">
        <f t="shared" si="5"/>
        <v>4</v>
      </c>
      <c r="V27" s="122">
        <f t="shared" si="6"/>
        <v>120</v>
      </c>
      <c r="W27" s="124">
        <f t="shared" si="7"/>
        <v>0</v>
      </c>
    </row>
    <row r="28" spans="1:23" x14ac:dyDescent="0.2">
      <c r="A28" s="8">
        <f t="shared" si="8"/>
        <v>44794</v>
      </c>
      <c r="B28" s="9"/>
      <c r="C28" s="9"/>
      <c r="D28" s="3" t="str">
        <f t="shared" si="0"/>
        <v/>
      </c>
      <c r="E28" s="4">
        <f t="shared" si="1"/>
        <v>0</v>
      </c>
      <c r="F28" s="5">
        <f t="shared" si="2"/>
        <v>0</v>
      </c>
      <c r="G28" s="146"/>
      <c r="H28" s="147"/>
      <c r="I28" s="148"/>
      <c r="J28" s="9"/>
      <c r="K28" s="9"/>
      <c r="L28" s="10"/>
      <c r="M28" s="7">
        <f t="shared" si="3"/>
        <v>0</v>
      </c>
      <c r="N28" s="44" t="str">
        <f t="shared" ca="1" si="4"/>
        <v/>
      </c>
      <c r="O28" s="45"/>
      <c r="P28" s="56"/>
      <c r="Q28" s="56"/>
      <c r="R28" s="56"/>
      <c r="S28" s="56"/>
      <c r="T28" s="56"/>
      <c r="U28" s="122">
        <f t="shared" si="5"/>
        <v>5</v>
      </c>
      <c r="V28" s="122">
        <f t="shared" si="6"/>
        <v>120</v>
      </c>
      <c r="W28" s="124">
        <f t="shared" si="7"/>
        <v>0</v>
      </c>
    </row>
    <row r="29" spans="1:23" x14ac:dyDescent="0.2">
      <c r="A29" s="8">
        <f t="shared" si="8"/>
        <v>44795</v>
      </c>
      <c r="B29" s="9"/>
      <c r="C29" s="9"/>
      <c r="D29" s="3" t="str">
        <f t="shared" si="0"/>
        <v/>
      </c>
      <c r="E29" s="4">
        <f t="shared" si="1"/>
        <v>0</v>
      </c>
      <c r="F29" s="5">
        <f t="shared" si="2"/>
        <v>0</v>
      </c>
      <c r="G29" s="146"/>
      <c r="H29" s="147"/>
      <c r="I29" s="148"/>
      <c r="J29" s="9"/>
      <c r="K29" s="9"/>
      <c r="L29" s="10"/>
      <c r="M29" s="7">
        <f t="shared" si="3"/>
        <v>0</v>
      </c>
      <c r="N29" s="44" t="str">
        <f t="shared" ca="1" si="4"/>
        <v/>
      </c>
      <c r="O29" s="45"/>
      <c r="P29" s="56"/>
      <c r="Q29" s="56"/>
      <c r="R29" s="56"/>
      <c r="S29" s="56"/>
      <c r="T29" s="56"/>
      <c r="U29" s="122">
        <f t="shared" si="5"/>
        <v>6</v>
      </c>
      <c r="V29" s="122">
        <f t="shared" si="6"/>
        <v>120</v>
      </c>
      <c r="W29" s="124">
        <f t="shared" si="7"/>
        <v>0</v>
      </c>
    </row>
    <row r="30" spans="1:23" x14ac:dyDescent="0.2">
      <c r="A30" s="8">
        <f t="shared" si="8"/>
        <v>44796</v>
      </c>
      <c r="B30" s="9"/>
      <c r="C30" s="9"/>
      <c r="D30" s="3" t="str">
        <f t="shared" si="0"/>
        <v/>
      </c>
      <c r="E30" s="4">
        <f t="shared" si="1"/>
        <v>0</v>
      </c>
      <c r="F30" s="5">
        <f t="shared" si="2"/>
        <v>0</v>
      </c>
      <c r="G30" s="146"/>
      <c r="H30" s="147"/>
      <c r="I30" s="148"/>
      <c r="J30" s="9"/>
      <c r="K30" s="9"/>
      <c r="L30" s="10"/>
      <c r="M30" s="7">
        <f t="shared" si="3"/>
        <v>0</v>
      </c>
      <c r="N30" s="44" t="str">
        <f t="shared" ca="1" si="4"/>
        <v/>
      </c>
      <c r="O30" s="45"/>
      <c r="P30" s="56"/>
      <c r="Q30" s="56"/>
      <c r="R30" s="56"/>
      <c r="S30" s="56"/>
      <c r="T30" s="56"/>
      <c r="U30" s="122">
        <f t="shared" si="5"/>
        <v>0</v>
      </c>
      <c r="V30" s="122">
        <f t="shared" si="6"/>
        <v>128</v>
      </c>
      <c r="W30" s="124">
        <f t="shared" si="7"/>
        <v>0</v>
      </c>
    </row>
    <row r="31" spans="1:23" x14ac:dyDescent="0.2">
      <c r="A31" s="8">
        <f t="shared" si="8"/>
        <v>44797</v>
      </c>
      <c r="B31" s="9"/>
      <c r="C31" s="9"/>
      <c r="D31" s="3" t="str">
        <f t="shared" si="0"/>
        <v/>
      </c>
      <c r="E31" s="4">
        <f t="shared" si="1"/>
        <v>0</v>
      </c>
      <c r="F31" s="5">
        <f t="shared" si="2"/>
        <v>0</v>
      </c>
      <c r="G31" s="146"/>
      <c r="H31" s="147"/>
      <c r="I31" s="148"/>
      <c r="J31" s="9"/>
      <c r="K31" s="9"/>
      <c r="L31" s="10"/>
      <c r="M31" s="7">
        <f t="shared" si="3"/>
        <v>0</v>
      </c>
      <c r="N31" s="44" t="str">
        <f t="shared" ca="1" si="4"/>
        <v/>
      </c>
      <c r="O31" s="45"/>
      <c r="P31" s="56"/>
      <c r="Q31" s="56"/>
      <c r="R31" s="56"/>
      <c r="S31" s="56"/>
      <c r="T31" s="56"/>
      <c r="U31" s="122">
        <f t="shared" si="5"/>
        <v>1</v>
      </c>
      <c r="V31" s="122">
        <f t="shared" si="6"/>
        <v>136</v>
      </c>
      <c r="W31" s="124">
        <f t="shared" si="7"/>
        <v>0</v>
      </c>
    </row>
    <row r="32" spans="1:23" x14ac:dyDescent="0.2">
      <c r="A32" s="8">
        <f t="shared" si="8"/>
        <v>44798</v>
      </c>
      <c r="B32" s="9"/>
      <c r="C32" s="9"/>
      <c r="D32" s="3" t="str">
        <f t="shared" si="0"/>
        <v/>
      </c>
      <c r="E32" s="4">
        <f t="shared" si="1"/>
        <v>0</v>
      </c>
      <c r="F32" s="5">
        <f t="shared" si="2"/>
        <v>0</v>
      </c>
      <c r="G32" s="146"/>
      <c r="H32" s="147"/>
      <c r="I32" s="148"/>
      <c r="J32" s="9"/>
      <c r="K32" s="9"/>
      <c r="L32" s="10"/>
      <c r="M32" s="7">
        <f t="shared" si="3"/>
        <v>0</v>
      </c>
      <c r="N32" s="44" t="str">
        <f t="shared" ca="1" si="4"/>
        <v/>
      </c>
      <c r="O32" s="45"/>
      <c r="P32" s="56"/>
      <c r="Q32" s="56"/>
      <c r="R32" s="56"/>
      <c r="S32" s="56"/>
      <c r="T32" s="56"/>
      <c r="U32" s="122">
        <f t="shared" si="5"/>
        <v>2</v>
      </c>
      <c r="V32" s="122">
        <f t="shared" si="6"/>
        <v>144</v>
      </c>
      <c r="W32" s="124">
        <f t="shared" si="7"/>
        <v>0</v>
      </c>
    </row>
    <row r="33" spans="1:23" x14ac:dyDescent="0.2">
      <c r="A33" s="8">
        <f t="shared" si="8"/>
        <v>44799</v>
      </c>
      <c r="B33" s="9"/>
      <c r="C33" s="9"/>
      <c r="D33" s="3" t="str">
        <f t="shared" si="0"/>
        <v/>
      </c>
      <c r="E33" s="4">
        <f t="shared" si="1"/>
        <v>0</v>
      </c>
      <c r="F33" s="5">
        <f t="shared" si="2"/>
        <v>0</v>
      </c>
      <c r="G33" s="146"/>
      <c r="H33" s="147"/>
      <c r="I33" s="148"/>
      <c r="J33" s="9"/>
      <c r="K33" s="9"/>
      <c r="L33" s="10"/>
      <c r="M33" s="7">
        <f t="shared" si="3"/>
        <v>0</v>
      </c>
      <c r="N33" s="44" t="str">
        <f t="shared" ca="1" si="4"/>
        <v/>
      </c>
      <c r="O33" s="45"/>
      <c r="P33" s="56"/>
      <c r="Q33" s="56"/>
      <c r="R33" s="56"/>
      <c r="S33" s="56"/>
      <c r="T33" s="56"/>
      <c r="U33" s="122">
        <f t="shared" si="5"/>
        <v>3</v>
      </c>
      <c r="V33" s="122">
        <f t="shared" si="6"/>
        <v>152</v>
      </c>
      <c r="W33" s="124">
        <f t="shared" si="7"/>
        <v>0</v>
      </c>
    </row>
    <row r="34" spans="1:23" x14ac:dyDescent="0.2">
      <c r="A34" s="8">
        <f t="shared" si="8"/>
        <v>44800</v>
      </c>
      <c r="B34" s="9"/>
      <c r="C34" s="9"/>
      <c r="D34" s="3" t="str">
        <f t="shared" si="0"/>
        <v/>
      </c>
      <c r="E34" s="4">
        <f t="shared" si="1"/>
        <v>0</v>
      </c>
      <c r="F34" s="5">
        <f t="shared" si="2"/>
        <v>0</v>
      </c>
      <c r="G34" s="146"/>
      <c r="H34" s="147"/>
      <c r="I34" s="148"/>
      <c r="J34" s="9"/>
      <c r="K34" s="9"/>
      <c r="L34" s="10"/>
      <c r="M34" s="7">
        <f t="shared" si="3"/>
        <v>0</v>
      </c>
      <c r="N34" s="44" t="str">
        <f t="shared" ca="1" si="4"/>
        <v/>
      </c>
      <c r="O34" s="45"/>
      <c r="P34" s="56"/>
      <c r="Q34" s="56"/>
      <c r="R34" s="56"/>
      <c r="S34" s="56"/>
      <c r="T34" s="56"/>
      <c r="U34" s="122">
        <f t="shared" si="5"/>
        <v>4</v>
      </c>
      <c r="V34" s="122">
        <f t="shared" si="6"/>
        <v>160</v>
      </c>
      <c r="W34" s="124">
        <f t="shared" si="7"/>
        <v>0</v>
      </c>
    </row>
    <row r="35" spans="1:23" x14ac:dyDescent="0.2">
      <c r="A35" s="8">
        <f t="shared" si="8"/>
        <v>44801</v>
      </c>
      <c r="B35" s="9"/>
      <c r="C35" s="9"/>
      <c r="D35" s="3" t="str">
        <f t="shared" si="0"/>
        <v/>
      </c>
      <c r="E35" s="4">
        <f t="shared" si="1"/>
        <v>0</v>
      </c>
      <c r="F35" s="5">
        <f t="shared" si="2"/>
        <v>0</v>
      </c>
      <c r="G35" s="146"/>
      <c r="H35" s="147"/>
      <c r="I35" s="148"/>
      <c r="J35" s="9"/>
      <c r="K35" s="9"/>
      <c r="L35" s="10"/>
      <c r="M35" s="7">
        <f t="shared" si="3"/>
        <v>0</v>
      </c>
      <c r="N35" s="44" t="str">
        <f t="shared" ca="1" si="4"/>
        <v/>
      </c>
      <c r="O35" s="45"/>
      <c r="P35" s="56"/>
      <c r="Q35" s="56"/>
      <c r="R35" s="56"/>
      <c r="S35" s="56"/>
      <c r="T35" s="56"/>
      <c r="U35" s="122">
        <f t="shared" si="5"/>
        <v>5</v>
      </c>
      <c r="V35" s="122">
        <f t="shared" si="6"/>
        <v>160</v>
      </c>
      <c r="W35" s="124">
        <f t="shared" si="7"/>
        <v>0</v>
      </c>
    </row>
    <row r="36" spans="1:23" x14ac:dyDescent="0.2">
      <c r="A36" s="8">
        <f t="shared" si="8"/>
        <v>44802</v>
      </c>
      <c r="B36" s="9"/>
      <c r="C36" s="9"/>
      <c r="D36" s="3" t="str">
        <f t="shared" si="0"/>
        <v/>
      </c>
      <c r="E36" s="4">
        <f t="shared" si="1"/>
        <v>0</v>
      </c>
      <c r="F36" s="5">
        <f t="shared" si="2"/>
        <v>0</v>
      </c>
      <c r="G36" s="146"/>
      <c r="H36" s="147"/>
      <c r="I36" s="148"/>
      <c r="J36" s="9"/>
      <c r="K36" s="9"/>
      <c r="L36" s="10"/>
      <c r="M36" s="7">
        <f t="shared" si="3"/>
        <v>0</v>
      </c>
      <c r="N36" s="44" t="str">
        <f t="shared" ca="1" si="4"/>
        <v/>
      </c>
      <c r="O36" s="45"/>
      <c r="P36" s="56"/>
      <c r="Q36" s="56"/>
      <c r="R36" s="56"/>
      <c r="S36" s="56"/>
      <c r="T36" s="56"/>
      <c r="U36" s="122">
        <f t="shared" si="5"/>
        <v>6</v>
      </c>
      <c r="V36" s="122">
        <f t="shared" si="6"/>
        <v>160</v>
      </c>
      <c r="W36" s="124">
        <f t="shared" si="7"/>
        <v>0</v>
      </c>
    </row>
    <row r="37" spans="1:23" x14ac:dyDescent="0.2">
      <c r="A37" s="8">
        <f t="shared" si="8"/>
        <v>44803</v>
      </c>
      <c r="B37" s="9"/>
      <c r="C37" s="9"/>
      <c r="D37" s="3" t="str">
        <f t="shared" si="0"/>
        <v/>
      </c>
      <c r="E37" s="4">
        <f t="shared" si="1"/>
        <v>0</v>
      </c>
      <c r="F37" s="5">
        <f t="shared" si="2"/>
        <v>0</v>
      </c>
      <c r="G37" s="146"/>
      <c r="H37" s="147"/>
      <c r="I37" s="148"/>
      <c r="J37" s="9"/>
      <c r="K37" s="9"/>
      <c r="L37" s="10"/>
      <c r="M37" s="7">
        <f t="shared" si="3"/>
        <v>0</v>
      </c>
      <c r="N37" s="44" t="str">
        <f t="shared" ca="1" si="4"/>
        <v/>
      </c>
      <c r="O37" s="45"/>
      <c r="P37" s="56"/>
      <c r="Q37" s="56"/>
      <c r="R37" s="56"/>
      <c r="S37" s="56"/>
      <c r="T37" s="56"/>
      <c r="U37" s="122">
        <f t="shared" si="5"/>
        <v>0</v>
      </c>
      <c r="V37" s="122">
        <f t="shared" si="6"/>
        <v>168</v>
      </c>
      <c r="W37" s="124">
        <f t="shared" si="7"/>
        <v>0</v>
      </c>
    </row>
    <row r="38" spans="1:23" x14ac:dyDescent="0.2">
      <c r="A38" s="12"/>
      <c r="G38" s="54"/>
      <c r="H38" s="54"/>
      <c r="I38" s="54"/>
      <c r="J38" s="55"/>
      <c r="K38" s="55"/>
      <c r="L38" s="54"/>
      <c r="P38" s="57">
        <f>SUM(P7:P37)</f>
        <v>0</v>
      </c>
      <c r="Q38" s="57">
        <f>SUM(Q7:Q37)</f>
        <v>0</v>
      </c>
      <c r="R38" s="57">
        <f>SUM(R7:R37)</f>
        <v>0</v>
      </c>
      <c r="S38" s="57">
        <f>SUM(S7:S37)</f>
        <v>0</v>
      </c>
      <c r="T38" s="57">
        <f>SUM(T7:T37)</f>
        <v>0</v>
      </c>
    </row>
    <row r="40" spans="1:23" x14ac:dyDescent="0.2">
      <c r="A40" s="13" t="str">
        <f>Blankettinfo</f>
        <v>Version 4.6 © LiU 2025-12-03</v>
      </c>
    </row>
  </sheetData>
  <mergeCells count="35">
    <mergeCell ref="G36:I36"/>
    <mergeCell ref="G27:I27"/>
    <mergeCell ref="G23:I23"/>
    <mergeCell ref="G8:I8"/>
    <mergeCell ref="G17:I17"/>
    <mergeCell ref="G37:I37"/>
    <mergeCell ref="G18:I18"/>
    <mergeCell ref="G34:I34"/>
    <mergeCell ref="G30:I30"/>
    <mergeCell ref="G15:I15"/>
    <mergeCell ref="G33:I33"/>
    <mergeCell ref="G24:I24"/>
    <mergeCell ref="G35:I35"/>
    <mergeCell ref="G20:I20"/>
    <mergeCell ref="G26:I26"/>
    <mergeCell ref="G29:I29"/>
    <mergeCell ref="G25:I25"/>
    <mergeCell ref="G16:I16"/>
    <mergeCell ref="G32:I32"/>
    <mergeCell ref="G22:I22"/>
    <mergeCell ref="G31:I31"/>
    <mergeCell ref="G10:I10"/>
    <mergeCell ref="G28:I28"/>
    <mergeCell ref="G19:I19"/>
    <mergeCell ref="G13:I13"/>
    <mergeCell ref="B1:D1"/>
    <mergeCell ref="G14:I14"/>
    <mergeCell ref="G9:I9"/>
    <mergeCell ref="G12:I12"/>
    <mergeCell ref="G21:I21"/>
    <mergeCell ref="G11:I11"/>
    <mergeCell ref="B3:D3"/>
    <mergeCell ref="G7:I7"/>
    <mergeCell ref="B4:C4"/>
    <mergeCell ref="B2:D2"/>
  </mergeCells>
  <conditionalFormatting sqref="A7:M37">
    <cfRule type="expression" dxfId="14" priority="1" stopIfTrue="1">
      <formula>$U7&gt;4</formula>
    </cfRule>
  </conditionalFormatting>
  <conditionalFormatting sqref="N7:N37">
    <cfRule type="cellIs" dxfId="13" priority="2" stopIfTrue="1" operator="greaterThanOrEqual">
      <formula>0</formula>
    </cfRule>
    <cfRule type="cellIs" dxfId="12" priority="3" stopIfTrue="1" operator="lessThan">
      <formula>0</formula>
    </cfRule>
  </conditionalFormatting>
  <dataValidations count="3">
    <dataValidation type="list" allowBlank="1" showInputMessage="1" showErrorMessage="1" sqref="L7:L37" xr:uid="{00000000-0002-0000-0A00-000000000000}">
      <formula1>"+,-"</formula1>
    </dataValidation>
    <dataValidation type="time" allowBlank="1" showInputMessage="1" showErrorMessage="1" errorTitle="Fel tidsformat" error="Ange tid som timmar och minuter med kolon som skiljetecken - till exempel 9:30 för klockan halv tio på förmiddagen." sqref="B7:C37 J7:K37" xr:uid="{00000000-0002-0000-0A00-000001000000}">
      <formula1>0</formula1>
      <formula2>0.999988425925926</formula2>
    </dataValidation>
    <dataValidation type="time" allowBlank="1" showInputMessage="1" showErrorMessage="1" errorTitle="Fel tidsformat" error="Lunchen måste vara minst 30 minuter - tiden anges med timmar och minuter, till exempel 0:45 för trekvarts timmes lunch." promptTitle="Lunchrast" prompt="Lunchen anges som 30 minuter när &quot;Slutar&quot;-tiden fyllts i. Ändra manuellt om lunchen är längre än 30 minuter." sqref="D7:D37" xr:uid="{00000000-0002-0000-0A00-000002000000}">
      <formula1>0.0208217592592593</formula1>
      <formula2>0.333333333333333</formula2>
    </dataValidation>
  </dataValidations>
  <pageMargins left="0.74803149606299213" right="0.74803149606299213" top="0.98425196850393704" bottom="0.98425196850393704" header="0.51181102362204722" footer="0.51181102362204722"/>
  <pageSetup paperSize="9" scale="64" orientation="landscape"/>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Blad7">
    <pageSetUpPr fitToPage="1"/>
  </sheetPr>
  <dimension ref="A1:Y40"/>
  <sheetViews>
    <sheetView workbookViewId="0"/>
  </sheetViews>
  <sheetFormatPr baseColWidth="10" defaultColWidth="9.140625" defaultRowHeight="15" x14ac:dyDescent="0.2"/>
  <cols>
    <col min="1" max="1" width="8.7109375" style="13" customWidth="1"/>
    <col min="2" max="5" width="10.7109375" style="13" customWidth="1"/>
    <col min="6" max="9" width="10.7109375" style="1" customWidth="1"/>
    <col min="10" max="11" width="8.7109375" style="11" customWidth="1"/>
    <col min="12" max="13" width="8.7109375" style="1" customWidth="1"/>
    <col min="14" max="14" width="7.7109375" style="14" customWidth="1"/>
    <col min="15" max="15" width="33.7109375" style="1" customWidth="1"/>
    <col min="16" max="20" width="10.7109375" style="1" customWidth="1"/>
    <col min="21" max="23" width="9.140625" style="122" hidden="1" customWidth="1"/>
    <col min="24" max="25" width="9.140625" style="120" customWidth="1"/>
    <col min="26" max="26" width="9.140625" style="1" customWidth="1"/>
    <col min="27" max="16384" width="9.140625" style="1"/>
  </cols>
  <sheetData>
    <row r="1" spans="1:24" x14ac:dyDescent="0.2">
      <c r="A1" s="66" t="s">
        <v>0</v>
      </c>
      <c r="B1" s="151" t="str">
        <f>Namn</f>
        <v>Håkan Stensby</v>
      </c>
      <c r="C1" s="152"/>
      <c r="D1" s="152"/>
      <c r="E1" s="47" t="s">
        <v>1</v>
      </c>
      <c r="F1" s="115">
        <f>SUM(F7:F37)</f>
        <v>0</v>
      </c>
      <c r="G1" s="51"/>
      <c r="H1" s="47" t="s">
        <v>2</v>
      </c>
      <c r="I1" s="76">
        <f>VLOOKUP(B3,översikt!A61:C72,3,FALSE)*B4</f>
        <v>176</v>
      </c>
      <c r="J1" s="77"/>
      <c r="K1" s="78"/>
      <c r="L1" s="79"/>
      <c r="M1" s="80"/>
      <c r="N1" s="80"/>
      <c r="O1" s="81"/>
      <c r="P1" s="85"/>
      <c r="Q1" s="85"/>
      <c r="R1" s="85"/>
      <c r="S1" s="85"/>
      <c r="T1" s="85"/>
    </row>
    <row r="2" spans="1:24" x14ac:dyDescent="0.2">
      <c r="A2" s="67" t="s">
        <v>3</v>
      </c>
      <c r="B2" s="161" t="str">
        <f>Pnr</f>
        <v>19770217-6418</v>
      </c>
      <c r="C2" s="154"/>
      <c r="D2" s="154"/>
      <c r="E2" s="53" t="s">
        <v>4</v>
      </c>
      <c r="F2" s="116">
        <f>VALUE(SUM(M7:M37)*24)</f>
        <v>0</v>
      </c>
      <c r="G2" s="48"/>
      <c r="H2" s="53" t="s">
        <v>5</v>
      </c>
      <c r="I2" s="82">
        <f>IF(F3=0,0,F3-I1)</f>
        <v>0</v>
      </c>
      <c r="J2" s="83"/>
      <c r="K2" s="84"/>
      <c r="L2" s="85"/>
      <c r="M2" s="86"/>
      <c r="N2" s="87"/>
      <c r="O2" s="88"/>
      <c r="P2" s="85"/>
      <c r="Q2" s="85"/>
      <c r="R2" s="85"/>
      <c r="S2" s="85"/>
      <c r="T2" s="85"/>
    </row>
    <row r="3" spans="1:24" x14ac:dyDescent="0.2">
      <c r="A3" s="67" t="s">
        <v>6</v>
      </c>
      <c r="B3" s="155">
        <f>översikt!A69</f>
        <v>44804</v>
      </c>
      <c r="C3" s="154"/>
      <c r="D3" s="154"/>
      <c r="E3" s="53" t="s">
        <v>7</v>
      </c>
      <c r="F3" s="116">
        <f>F1+F2</f>
        <v>0</v>
      </c>
      <c r="G3" s="49"/>
      <c r="H3" s="53" t="s">
        <v>8</v>
      </c>
      <c r="I3" s="82" t="str">
        <f ca="1">augusti!I4</f>
        <v>-</v>
      </c>
      <c r="J3" s="84"/>
      <c r="K3" s="85"/>
      <c r="L3" s="85"/>
      <c r="M3" s="89"/>
      <c r="N3" s="87"/>
      <c r="O3" s="88"/>
      <c r="P3" s="85"/>
      <c r="Q3" s="85"/>
      <c r="R3" s="85"/>
      <c r="S3" s="85"/>
      <c r="T3" s="85"/>
      <c r="W3" s="123"/>
    </row>
    <row r="4" spans="1:24" x14ac:dyDescent="0.2">
      <c r="A4" s="67" t="s">
        <v>9</v>
      </c>
      <c r="B4" s="159">
        <f>Tjgrad</f>
        <v>1</v>
      </c>
      <c r="C4" s="160"/>
      <c r="D4" s="52"/>
      <c r="E4" s="53" t="s">
        <v>10</v>
      </c>
      <c r="F4" s="50"/>
      <c r="G4" s="49"/>
      <c r="H4" s="53" t="s">
        <v>11</v>
      </c>
      <c r="I4" s="131" t="str">
        <f ca="1">IF(N7="", "-", OFFSET(N6, COUNT(N:N), 0, 1, 1) + I3)</f>
        <v>-</v>
      </c>
      <c r="J4" s="84"/>
      <c r="K4" s="85"/>
      <c r="L4" s="85"/>
      <c r="M4" s="89"/>
      <c r="N4" s="87"/>
      <c r="O4" s="88"/>
      <c r="P4" s="90" t="s">
        <v>12</v>
      </c>
      <c r="Q4" s="85"/>
      <c r="R4" s="85"/>
      <c r="S4" s="85"/>
      <c r="T4" s="85"/>
    </row>
    <row r="5" spans="1:24" x14ac:dyDescent="0.2">
      <c r="A5" s="68"/>
      <c r="B5" s="70" t="s">
        <v>13</v>
      </c>
      <c r="C5" s="70"/>
      <c r="D5" s="70"/>
      <c r="E5" s="70"/>
      <c r="F5" s="70"/>
      <c r="G5" s="70"/>
      <c r="H5" s="70"/>
      <c r="I5" s="70"/>
      <c r="J5" s="70" t="s">
        <v>14</v>
      </c>
      <c r="K5" s="70"/>
      <c r="L5" s="70"/>
      <c r="M5" s="70"/>
      <c r="N5" s="71" t="s">
        <v>15</v>
      </c>
      <c r="O5" s="72"/>
      <c r="P5" s="91" t="s">
        <v>16</v>
      </c>
      <c r="Q5" s="70"/>
      <c r="R5" s="70"/>
      <c r="S5" s="70"/>
      <c r="T5" s="70"/>
      <c r="U5" s="122" t="s">
        <v>17</v>
      </c>
      <c r="V5" s="122" t="s">
        <v>18</v>
      </c>
      <c r="W5" s="122" t="s">
        <v>19</v>
      </c>
    </row>
    <row r="6" spans="1:24" x14ac:dyDescent="0.2">
      <c r="A6" s="69" t="s">
        <v>17</v>
      </c>
      <c r="B6" s="73" t="s">
        <v>20</v>
      </c>
      <c r="C6" s="73" t="s">
        <v>21</v>
      </c>
      <c r="D6" s="73" t="s">
        <v>22</v>
      </c>
      <c r="E6" s="73" t="s">
        <v>23</v>
      </c>
      <c r="F6" s="73" t="s">
        <v>24</v>
      </c>
      <c r="G6" s="73" t="s">
        <v>25</v>
      </c>
      <c r="H6" s="73"/>
      <c r="I6" s="73"/>
      <c r="J6" s="73" t="s">
        <v>26</v>
      </c>
      <c r="K6" s="73" t="s">
        <v>27</v>
      </c>
      <c r="L6" s="73" t="s">
        <v>28</v>
      </c>
      <c r="M6" s="73" t="s">
        <v>29</v>
      </c>
      <c r="N6" s="74" t="s">
        <v>30</v>
      </c>
      <c r="O6" s="75" t="s">
        <v>31</v>
      </c>
      <c r="P6" s="113"/>
      <c r="Q6" s="113"/>
      <c r="R6" s="113"/>
      <c r="S6" s="113"/>
      <c r="T6" s="113"/>
    </row>
    <row r="7" spans="1:24" x14ac:dyDescent="0.2">
      <c r="A7" s="2">
        <f>B3</f>
        <v>44804</v>
      </c>
      <c r="B7" s="3"/>
      <c r="C7" s="3"/>
      <c r="D7" s="3" t="str">
        <f t="shared" ref="D7:D36" si="0">IF(C7="","",0.5/24)</f>
        <v/>
      </c>
      <c r="E7" s="4">
        <f t="shared" ref="E7:E36" si="1">IF(C7="",0,C7-B7-D7)</f>
        <v>0</v>
      </c>
      <c r="F7" s="5">
        <f t="shared" ref="F7:F36" si="2">IF(E7="","",VALUE(E7)*24)</f>
        <v>0</v>
      </c>
      <c r="G7" s="156"/>
      <c r="H7" s="157"/>
      <c r="I7" s="158"/>
      <c r="J7" s="3"/>
      <c r="K7" s="3"/>
      <c r="L7" s="6"/>
      <c r="M7" s="7">
        <f t="shared" ref="M7:M36" si="3">IF(OR(G7="Semester",G7="Sjuk",G7="Vård av barn"),8/24*$B$4,IF(L7="+",K7-J7,IF(L7="-",(K7-J7)*-1,0)))</f>
        <v>0</v>
      </c>
      <c r="N7" s="42" t="str">
        <f t="shared" ref="N7:N36" ca="1" si="4">IF(Dagen&gt;A7,W7-V7,"")</f>
        <v/>
      </c>
      <c r="O7" s="43"/>
      <c r="P7" s="56"/>
      <c r="Q7" s="56"/>
      <c r="R7" s="56"/>
      <c r="S7" s="56"/>
      <c r="T7" s="56"/>
      <c r="U7" s="125">
        <f t="shared" ref="U7:U36" si="5">IF(A7="",0,WEEKDAY(A7,3))</f>
        <v>1</v>
      </c>
      <c r="V7" s="122">
        <f t="shared" ref="V7:V36" si="6">IF(U7&gt;4,V6,V6+$B$4*8)</f>
        <v>8</v>
      </c>
      <c r="W7" s="124">
        <f t="shared" ref="W7:W36" si="7">VALUE(E7)*24+VALUE(M7)*24+W6</f>
        <v>0</v>
      </c>
    </row>
    <row r="8" spans="1:24" x14ac:dyDescent="0.2">
      <c r="A8" s="8">
        <f t="shared" ref="A8:A36" si="8">A7+1</f>
        <v>44805</v>
      </c>
      <c r="B8" s="9"/>
      <c r="C8" s="9"/>
      <c r="D8" s="3" t="str">
        <f t="shared" si="0"/>
        <v/>
      </c>
      <c r="E8" s="4">
        <f t="shared" si="1"/>
        <v>0</v>
      </c>
      <c r="F8" s="5">
        <f t="shared" si="2"/>
        <v>0</v>
      </c>
      <c r="G8" s="146"/>
      <c r="H8" s="147"/>
      <c r="I8" s="148"/>
      <c r="J8" s="9"/>
      <c r="K8" s="9"/>
      <c r="L8" s="10"/>
      <c r="M8" s="7">
        <f t="shared" si="3"/>
        <v>0</v>
      </c>
      <c r="N8" s="44" t="str">
        <f t="shared" ca="1" si="4"/>
        <v/>
      </c>
      <c r="O8" s="45"/>
      <c r="P8" s="56"/>
      <c r="Q8" s="56"/>
      <c r="R8" s="56"/>
      <c r="S8" s="56"/>
      <c r="T8" s="56"/>
      <c r="U8" s="122">
        <f t="shared" si="5"/>
        <v>2</v>
      </c>
      <c r="V8" s="122">
        <f t="shared" si="6"/>
        <v>16</v>
      </c>
      <c r="W8" s="124">
        <f t="shared" si="7"/>
        <v>0</v>
      </c>
      <c r="X8" s="121"/>
    </row>
    <row r="9" spans="1:24" x14ac:dyDescent="0.2">
      <c r="A9" s="8">
        <f t="shared" si="8"/>
        <v>44806</v>
      </c>
      <c r="B9" s="9"/>
      <c r="C9" s="9"/>
      <c r="D9" s="3" t="str">
        <f t="shared" si="0"/>
        <v/>
      </c>
      <c r="E9" s="4">
        <f t="shared" si="1"/>
        <v>0</v>
      </c>
      <c r="F9" s="5">
        <f t="shared" si="2"/>
        <v>0</v>
      </c>
      <c r="G9" s="146"/>
      <c r="H9" s="147"/>
      <c r="I9" s="148"/>
      <c r="J9" s="9"/>
      <c r="K9" s="9"/>
      <c r="L9" s="10"/>
      <c r="M9" s="7">
        <f t="shared" si="3"/>
        <v>0</v>
      </c>
      <c r="N9" s="44" t="str">
        <f t="shared" ca="1" si="4"/>
        <v/>
      </c>
      <c r="O9" s="45"/>
      <c r="P9" s="56"/>
      <c r="Q9" s="56"/>
      <c r="R9" s="56"/>
      <c r="S9" s="56"/>
      <c r="T9" s="56"/>
      <c r="U9" s="122">
        <f t="shared" si="5"/>
        <v>3</v>
      </c>
      <c r="V9" s="122">
        <f t="shared" si="6"/>
        <v>24</v>
      </c>
      <c r="W9" s="124">
        <f t="shared" si="7"/>
        <v>0</v>
      </c>
      <c r="X9" s="121"/>
    </row>
    <row r="10" spans="1:24" x14ac:dyDescent="0.2">
      <c r="A10" s="8">
        <f t="shared" si="8"/>
        <v>44807</v>
      </c>
      <c r="B10" s="9"/>
      <c r="C10" s="9"/>
      <c r="D10" s="3" t="str">
        <f t="shared" si="0"/>
        <v/>
      </c>
      <c r="E10" s="4">
        <f t="shared" si="1"/>
        <v>0</v>
      </c>
      <c r="F10" s="5">
        <f t="shared" si="2"/>
        <v>0</v>
      </c>
      <c r="G10" s="167"/>
      <c r="H10" s="168"/>
      <c r="I10" s="169"/>
      <c r="J10" s="34"/>
      <c r="K10" s="34"/>
      <c r="L10" s="35"/>
      <c r="M10" s="7">
        <f t="shared" si="3"/>
        <v>0</v>
      </c>
      <c r="N10" s="44" t="str">
        <f t="shared" ca="1" si="4"/>
        <v/>
      </c>
      <c r="O10" s="45"/>
      <c r="P10" s="56"/>
      <c r="Q10" s="56"/>
      <c r="R10" s="56"/>
      <c r="S10" s="56"/>
      <c r="T10" s="56"/>
      <c r="U10" s="122">
        <f t="shared" si="5"/>
        <v>4</v>
      </c>
      <c r="V10" s="122">
        <f t="shared" si="6"/>
        <v>32</v>
      </c>
      <c r="W10" s="124">
        <f t="shared" si="7"/>
        <v>0</v>
      </c>
      <c r="X10" s="121"/>
    </row>
    <row r="11" spans="1:24" x14ac:dyDescent="0.2">
      <c r="A11" s="8">
        <f t="shared" si="8"/>
        <v>44808</v>
      </c>
      <c r="B11" s="9"/>
      <c r="C11" s="9"/>
      <c r="D11" s="3" t="str">
        <f t="shared" si="0"/>
        <v/>
      </c>
      <c r="E11" s="4">
        <f t="shared" si="1"/>
        <v>0</v>
      </c>
      <c r="F11" s="5">
        <f t="shared" si="2"/>
        <v>0</v>
      </c>
      <c r="G11" s="146"/>
      <c r="H11" s="147"/>
      <c r="I11" s="148"/>
      <c r="J11" s="9"/>
      <c r="K11" s="9"/>
      <c r="L11" s="10"/>
      <c r="M11" s="7">
        <f t="shared" si="3"/>
        <v>0</v>
      </c>
      <c r="N11" s="44" t="str">
        <f t="shared" ca="1" si="4"/>
        <v/>
      </c>
      <c r="O11" s="45"/>
      <c r="P11" s="56"/>
      <c r="Q11" s="56"/>
      <c r="R11" s="56"/>
      <c r="S11" s="56"/>
      <c r="T11" s="56"/>
      <c r="U11" s="122">
        <f t="shared" si="5"/>
        <v>5</v>
      </c>
      <c r="V11" s="125">
        <f t="shared" si="6"/>
        <v>32</v>
      </c>
      <c r="W11" s="124">
        <f t="shared" si="7"/>
        <v>0</v>
      </c>
      <c r="X11" s="121"/>
    </row>
    <row r="12" spans="1:24" x14ac:dyDescent="0.2">
      <c r="A12" s="8">
        <f t="shared" si="8"/>
        <v>44809</v>
      </c>
      <c r="B12" s="9"/>
      <c r="C12" s="9"/>
      <c r="D12" s="3" t="str">
        <f t="shared" si="0"/>
        <v/>
      </c>
      <c r="E12" s="4">
        <f t="shared" si="1"/>
        <v>0</v>
      </c>
      <c r="F12" s="5">
        <f t="shared" si="2"/>
        <v>0</v>
      </c>
      <c r="G12" s="156"/>
      <c r="H12" s="157"/>
      <c r="I12" s="158"/>
      <c r="J12" s="3"/>
      <c r="K12" s="3"/>
      <c r="L12" s="6"/>
      <c r="M12" s="7">
        <f t="shared" si="3"/>
        <v>0</v>
      </c>
      <c r="N12" s="44" t="str">
        <f t="shared" ca="1" si="4"/>
        <v/>
      </c>
      <c r="O12" s="45"/>
      <c r="P12" s="56"/>
      <c r="Q12" s="56"/>
      <c r="R12" s="56"/>
      <c r="S12" s="56"/>
      <c r="T12" s="56"/>
      <c r="U12" s="125">
        <f t="shared" si="5"/>
        <v>6</v>
      </c>
      <c r="V12" s="122">
        <f t="shared" si="6"/>
        <v>32</v>
      </c>
      <c r="W12" s="124">
        <f t="shared" si="7"/>
        <v>0</v>
      </c>
      <c r="X12" s="121"/>
    </row>
    <row r="13" spans="1:24" x14ac:dyDescent="0.2">
      <c r="A13" s="8">
        <f t="shared" si="8"/>
        <v>44810</v>
      </c>
      <c r="B13" s="9"/>
      <c r="C13" s="9"/>
      <c r="D13" s="3" t="str">
        <f t="shared" si="0"/>
        <v/>
      </c>
      <c r="E13" s="4">
        <f t="shared" si="1"/>
        <v>0</v>
      </c>
      <c r="F13" s="5">
        <f t="shared" si="2"/>
        <v>0</v>
      </c>
      <c r="G13" s="146"/>
      <c r="H13" s="147"/>
      <c r="I13" s="148"/>
      <c r="J13" s="9"/>
      <c r="K13" s="9"/>
      <c r="L13" s="10"/>
      <c r="M13" s="7">
        <f t="shared" si="3"/>
        <v>0</v>
      </c>
      <c r="N13" s="44" t="str">
        <f t="shared" ca="1" si="4"/>
        <v/>
      </c>
      <c r="O13" s="45"/>
      <c r="P13" s="56"/>
      <c r="Q13" s="56"/>
      <c r="R13" s="56"/>
      <c r="S13" s="56"/>
      <c r="T13" s="56"/>
      <c r="U13" s="122">
        <f t="shared" si="5"/>
        <v>0</v>
      </c>
      <c r="V13" s="122">
        <f t="shared" si="6"/>
        <v>40</v>
      </c>
      <c r="W13" s="124">
        <f t="shared" si="7"/>
        <v>0</v>
      </c>
      <c r="X13" s="121"/>
    </row>
    <row r="14" spans="1:24" x14ac:dyDescent="0.2">
      <c r="A14" s="8">
        <f t="shared" si="8"/>
        <v>44811</v>
      </c>
      <c r="B14" s="9"/>
      <c r="C14" s="9"/>
      <c r="D14" s="3" t="str">
        <f t="shared" si="0"/>
        <v/>
      </c>
      <c r="E14" s="4">
        <f t="shared" si="1"/>
        <v>0</v>
      </c>
      <c r="F14" s="5">
        <f t="shared" si="2"/>
        <v>0</v>
      </c>
      <c r="G14" s="146"/>
      <c r="H14" s="147"/>
      <c r="I14" s="148"/>
      <c r="J14" s="9"/>
      <c r="K14" s="9"/>
      <c r="L14" s="10"/>
      <c r="M14" s="7">
        <f t="shared" si="3"/>
        <v>0</v>
      </c>
      <c r="N14" s="44" t="str">
        <f t="shared" ca="1" si="4"/>
        <v/>
      </c>
      <c r="O14" s="45"/>
      <c r="P14" s="56"/>
      <c r="Q14" s="56"/>
      <c r="R14" s="56"/>
      <c r="S14" s="56"/>
      <c r="T14" s="56"/>
      <c r="U14" s="122">
        <f t="shared" si="5"/>
        <v>1</v>
      </c>
      <c r="V14" s="122">
        <f t="shared" si="6"/>
        <v>48</v>
      </c>
      <c r="W14" s="124">
        <f t="shared" si="7"/>
        <v>0</v>
      </c>
      <c r="X14" s="121"/>
    </row>
    <row r="15" spans="1:24" x14ac:dyDescent="0.2">
      <c r="A15" s="8">
        <f t="shared" si="8"/>
        <v>44812</v>
      </c>
      <c r="B15" s="9"/>
      <c r="C15" s="9"/>
      <c r="D15" s="3" t="str">
        <f t="shared" si="0"/>
        <v/>
      </c>
      <c r="E15" s="4">
        <f t="shared" si="1"/>
        <v>0</v>
      </c>
      <c r="F15" s="5">
        <f t="shared" si="2"/>
        <v>0</v>
      </c>
      <c r="G15" s="146"/>
      <c r="H15" s="147"/>
      <c r="I15" s="148"/>
      <c r="J15" s="9"/>
      <c r="K15" s="9"/>
      <c r="L15" s="10"/>
      <c r="M15" s="7">
        <f t="shared" si="3"/>
        <v>0</v>
      </c>
      <c r="N15" s="44" t="str">
        <f t="shared" ca="1" si="4"/>
        <v/>
      </c>
      <c r="O15" s="45"/>
      <c r="P15" s="56"/>
      <c r="Q15" s="56"/>
      <c r="R15" s="56"/>
      <c r="S15" s="56"/>
      <c r="T15" s="56"/>
      <c r="U15" s="122">
        <f t="shared" si="5"/>
        <v>2</v>
      </c>
      <c r="V15" s="122">
        <f t="shared" si="6"/>
        <v>56</v>
      </c>
      <c r="W15" s="124">
        <f t="shared" si="7"/>
        <v>0</v>
      </c>
    </row>
    <row r="16" spans="1:24" x14ac:dyDescent="0.2">
      <c r="A16" s="8">
        <f t="shared" si="8"/>
        <v>44813</v>
      </c>
      <c r="B16" s="9"/>
      <c r="C16" s="9"/>
      <c r="D16" s="3" t="str">
        <f t="shared" si="0"/>
        <v/>
      </c>
      <c r="E16" s="4">
        <f t="shared" si="1"/>
        <v>0</v>
      </c>
      <c r="F16" s="5">
        <f t="shared" si="2"/>
        <v>0</v>
      </c>
      <c r="G16" s="146"/>
      <c r="H16" s="147"/>
      <c r="I16" s="148"/>
      <c r="J16" s="9"/>
      <c r="K16" s="9"/>
      <c r="L16" s="10"/>
      <c r="M16" s="7">
        <f t="shared" si="3"/>
        <v>0</v>
      </c>
      <c r="N16" s="44" t="str">
        <f t="shared" ca="1" si="4"/>
        <v/>
      </c>
      <c r="O16" s="45"/>
      <c r="P16" s="56"/>
      <c r="Q16" s="56"/>
      <c r="R16" s="56"/>
      <c r="S16" s="56"/>
      <c r="T16" s="56"/>
      <c r="U16" s="122">
        <f t="shared" si="5"/>
        <v>3</v>
      </c>
      <c r="V16" s="122">
        <f t="shared" si="6"/>
        <v>64</v>
      </c>
      <c r="W16" s="124">
        <f t="shared" si="7"/>
        <v>0</v>
      </c>
    </row>
    <row r="17" spans="1:23" x14ac:dyDescent="0.2">
      <c r="A17" s="8">
        <f t="shared" si="8"/>
        <v>44814</v>
      </c>
      <c r="B17" s="9"/>
      <c r="C17" s="9"/>
      <c r="D17" s="3" t="str">
        <f t="shared" si="0"/>
        <v/>
      </c>
      <c r="E17" s="4">
        <f t="shared" si="1"/>
        <v>0</v>
      </c>
      <c r="F17" s="5">
        <f t="shared" si="2"/>
        <v>0</v>
      </c>
      <c r="G17" s="146"/>
      <c r="H17" s="147"/>
      <c r="I17" s="148"/>
      <c r="J17" s="9"/>
      <c r="K17" s="9"/>
      <c r="L17" s="10"/>
      <c r="M17" s="7">
        <f t="shared" si="3"/>
        <v>0</v>
      </c>
      <c r="N17" s="44" t="str">
        <f t="shared" ca="1" si="4"/>
        <v/>
      </c>
      <c r="O17" s="45"/>
      <c r="P17" s="56"/>
      <c r="Q17" s="56"/>
      <c r="R17" s="56"/>
      <c r="S17" s="56"/>
      <c r="T17" s="56"/>
      <c r="U17" s="122">
        <f t="shared" si="5"/>
        <v>4</v>
      </c>
      <c r="V17" s="122">
        <f t="shared" si="6"/>
        <v>72</v>
      </c>
      <c r="W17" s="124">
        <f t="shared" si="7"/>
        <v>0</v>
      </c>
    </row>
    <row r="18" spans="1:23" x14ac:dyDescent="0.2">
      <c r="A18" s="8">
        <f t="shared" si="8"/>
        <v>44815</v>
      </c>
      <c r="B18" s="9"/>
      <c r="C18" s="9"/>
      <c r="D18" s="3" t="str">
        <f t="shared" si="0"/>
        <v/>
      </c>
      <c r="E18" s="4">
        <f t="shared" si="1"/>
        <v>0</v>
      </c>
      <c r="F18" s="5">
        <f t="shared" si="2"/>
        <v>0</v>
      </c>
      <c r="G18" s="146"/>
      <c r="H18" s="147"/>
      <c r="I18" s="148"/>
      <c r="J18" s="9"/>
      <c r="K18" s="9"/>
      <c r="L18" s="10"/>
      <c r="M18" s="7">
        <f t="shared" si="3"/>
        <v>0</v>
      </c>
      <c r="N18" s="44" t="str">
        <f t="shared" ca="1" si="4"/>
        <v/>
      </c>
      <c r="O18" s="45"/>
      <c r="P18" s="56"/>
      <c r="Q18" s="56"/>
      <c r="R18" s="56"/>
      <c r="S18" s="56"/>
      <c r="T18" s="56"/>
      <c r="U18" s="122">
        <f t="shared" si="5"/>
        <v>5</v>
      </c>
      <c r="V18" s="122">
        <f t="shared" si="6"/>
        <v>72</v>
      </c>
      <c r="W18" s="124">
        <f t="shared" si="7"/>
        <v>0</v>
      </c>
    </row>
    <row r="19" spans="1:23" x14ac:dyDescent="0.2">
      <c r="A19" s="8">
        <f t="shared" si="8"/>
        <v>44816</v>
      </c>
      <c r="B19" s="9"/>
      <c r="C19" s="9"/>
      <c r="D19" s="3" t="str">
        <f t="shared" si="0"/>
        <v/>
      </c>
      <c r="E19" s="4">
        <f t="shared" si="1"/>
        <v>0</v>
      </c>
      <c r="F19" s="5">
        <f t="shared" si="2"/>
        <v>0</v>
      </c>
      <c r="G19" s="146"/>
      <c r="H19" s="147"/>
      <c r="I19" s="148"/>
      <c r="J19" s="9"/>
      <c r="K19" s="9"/>
      <c r="L19" s="10"/>
      <c r="M19" s="7">
        <f t="shared" si="3"/>
        <v>0</v>
      </c>
      <c r="N19" s="44" t="str">
        <f t="shared" ca="1" si="4"/>
        <v/>
      </c>
      <c r="O19" s="45"/>
      <c r="P19" s="56"/>
      <c r="Q19" s="56"/>
      <c r="R19" s="56"/>
      <c r="S19" s="56"/>
      <c r="T19" s="56"/>
      <c r="U19" s="122">
        <f t="shared" si="5"/>
        <v>6</v>
      </c>
      <c r="V19" s="122">
        <f t="shared" si="6"/>
        <v>72</v>
      </c>
      <c r="W19" s="124">
        <f t="shared" si="7"/>
        <v>0</v>
      </c>
    </row>
    <row r="20" spans="1:23" x14ac:dyDescent="0.2">
      <c r="A20" s="8">
        <f t="shared" si="8"/>
        <v>44817</v>
      </c>
      <c r="B20" s="9"/>
      <c r="C20" s="144"/>
      <c r="D20" s="3" t="str">
        <f t="shared" si="0"/>
        <v/>
      </c>
      <c r="E20" s="4">
        <f t="shared" si="1"/>
        <v>0</v>
      </c>
      <c r="F20" s="5">
        <f t="shared" si="2"/>
        <v>0</v>
      </c>
      <c r="G20" s="146"/>
      <c r="H20" s="147"/>
      <c r="I20" s="148"/>
      <c r="J20" s="9"/>
      <c r="K20" s="9"/>
      <c r="L20" s="10"/>
      <c r="M20" s="7">
        <f t="shared" si="3"/>
        <v>0</v>
      </c>
      <c r="N20" s="44" t="str">
        <f t="shared" ca="1" si="4"/>
        <v/>
      </c>
      <c r="O20" s="45"/>
      <c r="P20" s="56"/>
      <c r="Q20" s="56"/>
      <c r="R20" s="56"/>
      <c r="S20" s="56"/>
      <c r="T20" s="56"/>
      <c r="U20" s="122">
        <f t="shared" si="5"/>
        <v>0</v>
      </c>
      <c r="V20" s="122">
        <f t="shared" si="6"/>
        <v>80</v>
      </c>
      <c r="W20" s="124">
        <f t="shared" si="7"/>
        <v>0</v>
      </c>
    </row>
    <row r="21" spans="1:23" x14ac:dyDescent="0.2">
      <c r="A21" s="8">
        <f t="shared" si="8"/>
        <v>44818</v>
      </c>
      <c r="B21" s="9"/>
      <c r="C21" s="9"/>
      <c r="D21" s="3" t="str">
        <f t="shared" si="0"/>
        <v/>
      </c>
      <c r="E21" s="4">
        <f t="shared" si="1"/>
        <v>0</v>
      </c>
      <c r="F21" s="5">
        <f t="shared" si="2"/>
        <v>0</v>
      </c>
      <c r="G21" s="146"/>
      <c r="H21" s="147"/>
      <c r="I21" s="148"/>
      <c r="J21" s="9"/>
      <c r="K21" s="9"/>
      <c r="L21" s="10"/>
      <c r="M21" s="7">
        <f t="shared" si="3"/>
        <v>0</v>
      </c>
      <c r="N21" s="44" t="str">
        <f t="shared" ca="1" si="4"/>
        <v/>
      </c>
      <c r="O21" s="45"/>
      <c r="P21" s="56"/>
      <c r="Q21" s="56"/>
      <c r="R21" s="56"/>
      <c r="S21" s="56"/>
      <c r="T21" s="56"/>
      <c r="U21" s="122">
        <f t="shared" si="5"/>
        <v>1</v>
      </c>
      <c r="V21" s="122">
        <f t="shared" si="6"/>
        <v>88</v>
      </c>
      <c r="W21" s="124">
        <f t="shared" si="7"/>
        <v>0</v>
      </c>
    </row>
    <row r="22" spans="1:23" x14ac:dyDescent="0.2">
      <c r="A22" s="8">
        <f t="shared" si="8"/>
        <v>44819</v>
      </c>
      <c r="B22" s="9"/>
      <c r="C22" s="144"/>
      <c r="D22" s="3" t="str">
        <f t="shared" si="0"/>
        <v/>
      </c>
      <c r="E22" s="4">
        <f t="shared" si="1"/>
        <v>0</v>
      </c>
      <c r="F22" s="5">
        <f t="shared" si="2"/>
        <v>0</v>
      </c>
      <c r="G22" s="146"/>
      <c r="H22" s="147"/>
      <c r="I22" s="148"/>
      <c r="J22" s="9"/>
      <c r="K22" s="9"/>
      <c r="L22" s="10"/>
      <c r="M22" s="7">
        <f t="shared" si="3"/>
        <v>0</v>
      </c>
      <c r="N22" s="44" t="str">
        <f t="shared" ca="1" si="4"/>
        <v/>
      </c>
      <c r="O22" s="45"/>
      <c r="P22" s="56"/>
      <c r="Q22" s="56"/>
      <c r="R22" s="56"/>
      <c r="S22" s="56"/>
      <c r="T22" s="56"/>
      <c r="U22" s="122">
        <f t="shared" si="5"/>
        <v>2</v>
      </c>
      <c r="V22" s="122">
        <f t="shared" si="6"/>
        <v>96</v>
      </c>
      <c r="W22" s="124">
        <f t="shared" si="7"/>
        <v>0</v>
      </c>
    </row>
    <row r="23" spans="1:23" x14ac:dyDescent="0.2">
      <c r="A23" s="8">
        <f t="shared" si="8"/>
        <v>44820</v>
      </c>
      <c r="B23" s="9"/>
      <c r="C23" s="9"/>
      <c r="D23" s="3" t="str">
        <f t="shared" si="0"/>
        <v/>
      </c>
      <c r="E23" s="4">
        <f t="shared" si="1"/>
        <v>0</v>
      </c>
      <c r="F23" s="5">
        <f t="shared" si="2"/>
        <v>0</v>
      </c>
      <c r="G23" s="146"/>
      <c r="H23" s="147"/>
      <c r="I23" s="148"/>
      <c r="J23" s="9"/>
      <c r="K23" s="9"/>
      <c r="L23" s="10"/>
      <c r="M23" s="7">
        <f t="shared" si="3"/>
        <v>0</v>
      </c>
      <c r="N23" s="44" t="str">
        <f t="shared" ca="1" si="4"/>
        <v/>
      </c>
      <c r="O23" s="45"/>
      <c r="P23" s="56"/>
      <c r="Q23" s="56"/>
      <c r="R23" s="56"/>
      <c r="S23" s="56"/>
      <c r="T23" s="56"/>
      <c r="U23" s="122">
        <f t="shared" si="5"/>
        <v>3</v>
      </c>
      <c r="V23" s="122">
        <f t="shared" si="6"/>
        <v>104</v>
      </c>
      <c r="W23" s="124">
        <f t="shared" si="7"/>
        <v>0</v>
      </c>
    </row>
    <row r="24" spans="1:23" x14ac:dyDescent="0.2">
      <c r="A24" s="8">
        <f t="shared" si="8"/>
        <v>44821</v>
      </c>
      <c r="B24" s="9"/>
      <c r="C24" s="9"/>
      <c r="D24" s="3" t="str">
        <f t="shared" si="0"/>
        <v/>
      </c>
      <c r="E24" s="4">
        <f t="shared" si="1"/>
        <v>0</v>
      </c>
      <c r="F24" s="5">
        <f t="shared" si="2"/>
        <v>0</v>
      </c>
      <c r="G24" s="146"/>
      <c r="H24" s="147"/>
      <c r="I24" s="148"/>
      <c r="J24" s="9"/>
      <c r="K24" s="9"/>
      <c r="L24" s="10"/>
      <c r="M24" s="7">
        <f t="shared" si="3"/>
        <v>0</v>
      </c>
      <c r="N24" s="44" t="str">
        <f t="shared" ca="1" si="4"/>
        <v/>
      </c>
      <c r="O24" s="45"/>
      <c r="P24" s="56"/>
      <c r="Q24" s="56"/>
      <c r="R24" s="56"/>
      <c r="S24" s="56"/>
      <c r="T24" s="56"/>
      <c r="U24" s="122">
        <f t="shared" si="5"/>
        <v>4</v>
      </c>
      <c r="V24" s="122">
        <f t="shared" si="6"/>
        <v>112</v>
      </c>
      <c r="W24" s="124">
        <f t="shared" si="7"/>
        <v>0</v>
      </c>
    </row>
    <row r="25" spans="1:23" x14ac:dyDescent="0.2">
      <c r="A25" s="8">
        <f t="shared" si="8"/>
        <v>44822</v>
      </c>
      <c r="B25" s="9"/>
      <c r="C25" s="9"/>
      <c r="D25" s="3" t="str">
        <f t="shared" si="0"/>
        <v/>
      </c>
      <c r="E25" s="4">
        <f t="shared" si="1"/>
        <v>0</v>
      </c>
      <c r="F25" s="5">
        <f t="shared" si="2"/>
        <v>0</v>
      </c>
      <c r="G25" s="146"/>
      <c r="H25" s="147"/>
      <c r="I25" s="148"/>
      <c r="J25" s="9"/>
      <c r="K25" s="9"/>
      <c r="L25" s="10"/>
      <c r="M25" s="7">
        <f t="shared" si="3"/>
        <v>0</v>
      </c>
      <c r="N25" s="44" t="str">
        <f t="shared" ca="1" si="4"/>
        <v/>
      </c>
      <c r="O25" s="45"/>
      <c r="P25" s="56"/>
      <c r="Q25" s="56"/>
      <c r="R25" s="56"/>
      <c r="S25" s="56"/>
      <c r="T25" s="56"/>
      <c r="U25" s="122">
        <f t="shared" si="5"/>
        <v>5</v>
      </c>
      <c r="V25" s="122">
        <f t="shared" si="6"/>
        <v>112</v>
      </c>
      <c r="W25" s="124">
        <f t="shared" si="7"/>
        <v>0</v>
      </c>
    </row>
    <row r="26" spans="1:23" x14ac:dyDescent="0.2">
      <c r="A26" s="8">
        <f t="shared" si="8"/>
        <v>44823</v>
      </c>
      <c r="B26" s="9"/>
      <c r="C26" s="9"/>
      <c r="D26" s="3" t="str">
        <f t="shared" si="0"/>
        <v/>
      </c>
      <c r="E26" s="4">
        <f t="shared" si="1"/>
        <v>0</v>
      </c>
      <c r="F26" s="5">
        <f t="shared" si="2"/>
        <v>0</v>
      </c>
      <c r="G26" s="146"/>
      <c r="H26" s="147"/>
      <c r="I26" s="148"/>
      <c r="J26" s="9"/>
      <c r="K26" s="9"/>
      <c r="L26" s="10"/>
      <c r="M26" s="7">
        <f t="shared" si="3"/>
        <v>0</v>
      </c>
      <c r="N26" s="44" t="str">
        <f t="shared" ca="1" si="4"/>
        <v/>
      </c>
      <c r="O26" s="45"/>
      <c r="P26" s="56"/>
      <c r="Q26" s="56"/>
      <c r="R26" s="56"/>
      <c r="S26" s="56"/>
      <c r="T26" s="56"/>
      <c r="U26" s="122">
        <f t="shared" si="5"/>
        <v>6</v>
      </c>
      <c r="V26" s="122">
        <f t="shared" si="6"/>
        <v>112</v>
      </c>
      <c r="W26" s="124">
        <f t="shared" si="7"/>
        <v>0</v>
      </c>
    </row>
    <row r="27" spans="1:23" x14ac:dyDescent="0.2">
      <c r="A27" s="8">
        <f t="shared" si="8"/>
        <v>44824</v>
      </c>
      <c r="B27" s="9"/>
      <c r="C27" s="9"/>
      <c r="D27" s="3" t="str">
        <f t="shared" si="0"/>
        <v/>
      </c>
      <c r="E27" s="4">
        <f t="shared" si="1"/>
        <v>0</v>
      </c>
      <c r="F27" s="5">
        <f t="shared" si="2"/>
        <v>0</v>
      </c>
      <c r="G27" s="146"/>
      <c r="H27" s="147"/>
      <c r="I27" s="148"/>
      <c r="J27" s="9"/>
      <c r="K27" s="9"/>
      <c r="L27" s="10"/>
      <c r="M27" s="7">
        <f t="shared" si="3"/>
        <v>0</v>
      </c>
      <c r="N27" s="44" t="str">
        <f t="shared" ca="1" si="4"/>
        <v/>
      </c>
      <c r="O27" s="45"/>
      <c r="P27" s="56"/>
      <c r="Q27" s="56"/>
      <c r="R27" s="56"/>
      <c r="S27" s="56"/>
      <c r="T27" s="56"/>
      <c r="U27" s="122">
        <f t="shared" si="5"/>
        <v>0</v>
      </c>
      <c r="V27" s="122">
        <f t="shared" si="6"/>
        <v>120</v>
      </c>
      <c r="W27" s="124">
        <f t="shared" si="7"/>
        <v>0</v>
      </c>
    </row>
    <row r="28" spans="1:23" x14ac:dyDescent="0.2">
      <c r="A28" s="8">
        <f t="shared" si="8"/>
        <v>44825</v>
      </c>
      <c r="B28" s="9"/>
      <c r="C28" s="9"/>
      <c r="D28" s="3" t="str">
        <f t="shared" si="0"/>
        <v/>
      </c>
      <c r="E28" s="4">
        <f t="shared" si="1"/>
        <v>0</v>
      </c>
      <c r="F28" s="5">
        <f t="shared" si="2"/>
        <v>0</v>
      </c>
      <c r="G28" s="146"/>
      <c r="H28" s="147"/>
      <c r="I28" s="148"/>
      <c r="J28" s="9"/>
      <c r="K28" s="9"/>
      <c r="L28" s="10"/>
      <c r="M28" s="7">
        <f t="shared" si="3"/>
        <v>0</v>
      </c>
      <c r="N28" s="44" t="str">
        <f t="shared" ca="1" si="4"/>
        <v/>
      </c>
      <c r="O28" s="45"/>
      <c r="P28" s="56"/>
      <c r="Q28" s="56"/>
      <c r="R28" s="56"/>
      <c r="S28" s="56"/>
      <c r="T28" s="56"/>
      <c r="U28" s="122">
        <f t="shared" si="5"/>
        <v>1</v>
      </c>
      <c r="V28" s="122">
        <f t="shared" si="6"/>
        <v>128</v>
      </c>
      <c r="W28" s="124">
        <f t="shared" si="7"/>
        <v>0</v>
      </c>
    </row>
    <row r="29" spans="1:23" x14ac:dyDescent="0.2">
      <c r="A29" s="8">
        <f t="shared" si="8"/>
        <v>44826</v>
      </c>
      <c r="B29" s="9"/>
      <c r="C29" s="9"/>
      <c r="D29" s="3" t="str">
        <f t="shared" si="0"/>
        <v/>
      </c>
      <c r="E29" s="4">
        <f t="shared" si="1"/>
        <v>0</v>
      </c>
      <c r="F29" s="5">
        <f t="shared" si="2"/>
        <v>0</v>
      </c>
      <c r="G29" s="146"/>
      <c r="H29" s="147"/>
      <c r="I29" s="148"/>
      <c r="J29" s="9"/>
      <c r="K29" s="9"/>
      <c r="L29" s="10"/>
      <c r="M29" s="7">
        <f t="shared" si="3"/>
        <v>0</v>
      </c>
      <c r="N29" s="44" t="str">
        <f t="shared" ca="1" si="4"/>
        <v/>
      </c>
      <c r="O29" s="45"/>
      <c r="P29" s="56"/>
      <c r="Q29" s="56"/>
      <c r="R29" s="56"/>
      <c r="S29" s="56"/>
      <c r="T29" s="56"/>
      <c r="U29" s="122">
        <f t="shared" si="5"/>
        <v>2</v>
      </c>
      <c r="V29" s="122">
        <f t="shared" si="6"/>
        <v>136</v>
      </c>
      <c r="W29" s="124">
        <f t="shared" si="7"/>
        <v>0</v>
      </c>
    </row>
    <row r="30" spans="1:23" x14ac:dyDescent="0.2">
      <c r="A30" s="8">
        <f t="shared" si="8"/>
        <v>44827</v>
      </c>
      <c r="B30" s="9"/>
      <c r="C30" s="9"/>
      <c r="D30" s="3" t="str">
        <f t="shared" si="0"/>
        <v/>
      </c>
      <c r="E30" s="4">
        <f t="shared" si="1"/>
        <v>0</v>
      </c>
      <c r="F30" s="5">
        <f t="shared" si="2"/>
        <v>0</v>
      </c>
      <c r="G30" s="146"/>
      <c r="H30" s="147"/>
      <c r="I30" s="148"/>
      <c r="J30" s="9"/>
      <c r="K30" s="9"/>
      <c r="L30" s="10"/>
      <c r="M30" s="7">
        <f t="shared" si="3"/>
        <v>0</v>
      </c>
      <c r="N30" s="44" t="str">
        <f t="shared" ca="1" si="4"/>
        <v/>
      </c>
      <c r="O30" s="45"/>
      <c r="P30" s="56"/>
      <c r="Q30" s="56"/>
      <c r="R30" s="56"/>
      <c r="S30" s="56"/>
      <c r="T30" s="56"/>
      <c r="U30" s="122">
        <f t="shared" si="5"/>
        <v>3</v>
      </c>
      <c r="V30" s="122">
        <f t="shared" si="6"/>
        <v>144</v>
      </c>
      <c r="W30" s="124">
        <f t="shared" si="7"/>
        <v>0</v>
      </c>
    </row>
    <row r="31" spans="1:23" x14ac:dyDescent="0.2">
      <c r="A31" s="8">
        <f t="shared" si="8"/>
        <v>44828</v>
      </c>
      <c r="B31" s="9"/>
      <c r="C31" s="9"/>
      <c r="D31" s="3" t="str">
        <f t="shared" si="0"/>
        <v/>
      </c>
      <c r="E31" s="4">
        <f t="shared" si="1"/>
        <v>0</v>
      </c>
      <c r="F31" s="5">
        <f t="shared" si="2"/>
        <v>0</v>
      </c>
      <c r="G31" s="146"/>
      <c r="H31" s="147"/>
      <c r="I31" s="148"/>
      <c r="J31" s="9"/>
      <c r="K31" s="9"/>
      <c r="L31" s="10"/>
      <c r="M31" s="7">
        <f t="shared" si="3"/>
        <v>0</v>
      </c>
      <c r="N31" s="44" t="str">
        <f t="shared" ca="1" si="4"/>
        <v/>
      </c>
      <c r="O31" s="45"/>
      <c r="P31" s="56"/>
      <c r="Q31" s="56"/>
      <c r="R31" s="56"/>
      <c r="S31" s="56"/>
      <c r="T31" s="56"/>
      <c r="U31" s="122">
        <f t="shared" si="5"/>
        <v>4</v>
      </c>
      <c r="V31" s="122">
        <f t="shared" si="6"/>
        <v>152</v>
      </c>
      <c r="W31" s="124">
        <f t="shared" si="7"/>
        <v>0</v>
      </c>
    </row>
    <row r="32" spans="1:23" x14ac:dyDescent="0.2">
      <c r="A32" s="8">
        <f t="shared" si="8"/>
        <v>44829</v>
      </c>
      <c r="B32" s="9"/>
      <c r="C32" s="9"/>
      <c r="D32" s="3" t="str">
        <f t="shared" si="0"/>
        <v/>
      </c>
      <c r="E32" s="4">
        <f t="shared" si="1"/>
        <v>0</v>
      </c>
      <c r="F32" s="5">
        <f t="shared" si="2"/>
        <v>0</v>
      </c>
      <c r="G32" s="146"/>
      <c r="H32" s="147"/>
      <c r="I32" s="148"/>
      <c r="J32" s="9"/>
      <c r="K32" s="9"/>
      <c r="L32" s="10"/>
      <c r="M32" s="7">
        <f t="shared" si="3"/>
        <v>0</v>
      </c>
      <c r="N32" s="44" t="str">
        <f t="shared" ca="1" si="4"/>
        <v/>
      </c>
      <c r="O32" s="45"/>
      <c r="P32" s="56"/>
      <c r="Q32" s="56"/>
      <c r="R32" s="56"/>
      <c r="S32" s="56"/>
      <c r="T32" s="56"/>
      <c r="U32" s="122">
        <f t="shared" si="5"/>
        <v>5</v>
      </c>
      <c r="V32" s="122">
        <f t="shared" si="6"/>
        <v>152</v>
      </c>
      <c r="W32" s="124">
        <f t="shared" si="7"/>
        <v>0</v>
      </c>
    </row>
    <row r="33" spans="1:23" x14ac:dyDescent="0.2">
      <c r="A33" s="8">
        <f t="shared" si="8"/>
        <v>44830</v>
      </c>
      <c r="B33" s="9"/>
      <c r="C33" s="9"/>
      <c r="D33" s="3" t="str">
        <f t="shared" si="0"/>
        <v/>
      </c>
      <c r="E33" s="4">
        <f t="shared" si="1"/>
        <v>0</v>
      </c>
      <c r="F33" s="5">
        <f t="shared" si="2"/>
        <v>0</v>
      </c>
      <c r="G33" s="146"/>
      <c r="H33" s="147"/>
      <c r="I33" s="148"/>
      <c r="J33" s="9"/>
      <c r="K33" s="9"/>
      <c r="L33" s="10"/>
      <c r="M33" s="7">
        <f t="shared" si="3"/>
        <v>0</v>
      </c>
      <c r="N33" s="44" t="str">
        <f t="shared" ca="1" si="4"/>
        <v/>
      </c>
      <c r="O33" s="45"/>
      <c r="P33" s="56"/>
      <c r="Q33" s="56"/>
      <c r="R33" s="56"/>
      <c r="S33" s="56"/>
      <c r="T33" s="56"/>
      <c r="U33" s="122">
        <f t="shared" si="5"/>
        <v>6</v>
      </c>
      <c r="V33" s="122">
        <f t="shared" si="6"/>
        <v>152</v>
      </c>
      <c r="W33" s="124">
        <f t="shared" si="7"/>
        <v>0</v>
      </c>
    </row>
    <row r="34" spans="1:23" x14ac:dyDescent="0.2">
      <c r="A34" s="8">
        <f t="shared" si="8"/>
        <v>44831</v>
      </c>
      <c r="B34" s="9"/>
      <c r="C34" s="9"/>
      <c r="D34" s="3" t="str">
        <f t="shared" si="0"/>
        <v/>
      </c>
      <c r="E34" s="4">
        <f t="shared" si="1"/>
        <v>0</v>
      </c>
      <c r="F34" s="5">
        <f t="shared" si="2"/>
        <v>0</v>
      </c>
      <c r="G34" s="146"/>
      <c r="H34" s="147"/>
      <c r="I34" s="148"/>
      <c r="J34" s="9"/>
      <c r="K34" s="9"/>
      <c r="L34" s="10"/>
      <c r="M34" s="7">
        <f t="shared" si="3"/>
        <v>0</v>
      </c>
      <c r="N34" s="44" t="str">
        <f t="shared" ca="1" si="4"/>
        <v/>
      </c>
      <c r="O34" s="45"/>
      <c r="P34" s="56"/>
      <c r="Q34" s="56"/>
      <c r="R34" s="56"/>
      <c r="S34" s="56"/>
      <c r="T34" s="56"/>
      <c r="U34" s="122">
        <f t="shared" si="5"/>
        <v>0</v>
      </c>
      <c r="V34" s="122">
        <f t="shared" si="6"/>
        <v>160</v>
      </c>
      <c r="W34" s="124">
        <f t="shared" si="7"/>
        <v>0</v>
      </c>
    </row>
    <row r="35" spans="1:23" x14ac:dyDescent="0.2">
      <c r="A35" s="8">
        <f t="shared" si="8"/>
        <v>44832</v>
      </c>
      <c r="B35" s="9"/>
      <c r="C35" s="9"/>
      <c r="D35" s="3" t="str">
        <f t="shared" si="0"/>
        <v/>
      </c>
      <c r="E35" s="4">
        <f t="shared" si="1"/>
        <v>0</v>
      </c>
      <c r="F35" s="5">
        <f t="shared" si="2"/>
        <v>0</v>
      </c>
      <c r="G35" s="146"/>
      <c r="H35" s="147"/>
      <c r="I35" s="148"/>
      <c r="J35" s="9"/>
      <c r="K35" s="9"/>
      <c r="L35" s="10"/>
      <c r="M35" s="7">
        <f t="shared" si="3"/>
        <v>0</v>
      </c>
      <c r="N35" s="44" t="str">
        <f t="shared" ca="1" si="4"/>
        <v/>
      </c>
      <c r="O35" s="45"/>
      <c r="P35" s="56"/>
      <c r="Q35" s="56"/>
      <c r="R35" s="56"/>
      <c r="S35" s="56"/>
      <c r="T35" s="56"/>
      <c r="U35" s="122">
        <f t="shared" si="5"/>
        <v>1</v>
      </c>
      <c r="V35" s="122">
        <f t="shared" si="6"/>
        <v>168</v>
      </c>
      <c r="W35" s="124">
        <f t="shared" si="7"/>
        <v>0</v>
      </c>
    </row>
    <row r="36" spans="1:23" x14ac:dyDescent="0.2">
      <c r="A36" s="8">
        <f t="shared" si="8"/>
        <v>44833</v>
      </c>
      <c r="B36" s="9"/>
      <c r="C36" s="9"/>
      <c r="D36" s="3" t="str">
        <f t="shared" si="0"/>
        <v/>
      </c>
      <c r="E36" s="4">
        <f t="shared" si="1"/>
        <v>0</v>
      </c>
      <c r="F36" s="5">
        <f t="shared" si="2"/>
        <v>0</v>
      </c>
      <c r="G36" s="146"/>
      <c r="H36" s="147"/>
      <c r="I36" s="148"/>
      <c r="J36" s="9"/>
      <c r="K36" s="9"/>
      <c r="L36" s="10"/>
      <c r="M36" s="7">
        <f t="shared" si="3"/>
        <v>0</v>
      </c>
      <c r="N36" s="44" t="str">
        <f t="shared" ca="1" si="4"/>
        <v/>
      </c>
      <c r="O36" s="45"/>
      <c r="P36" s="56"/>
      <c r="Q36" s="56"/>
      <c r="R36" s="56"/>
      <c r="S36" s="56"/>
      <c r="T36" s="56"/>
      <c r="U36" s="122">
        <f t="shared" si="5"/>
        <v>2</v>
      </c>
      <c r="V36" s="122">
        <f t="shared" si="6"/>
        <v>176</v>
      </c>
      <c r="W36" s="124">
        <f t="shared" si="7"/>
        <v>0</v>
      </c>
    </row>
    <row r="37" spans="1:23" x14ac:dyDescent="0.2">
      <c r="A37" s="8"/>
      <c r="B37" s="9"/>
      <c r="C37" s="9"/>
      <c r="D37" s="3"/>
      <c r="E37" s="4"/>
      <c r="F37" s="5"/>
      <c r="G37" s="146"/>
      <c r="H37" s="147"/>
      <c r="I37" s="148"/>
      <c r="J37" s="9"/>
      <c r="K37" s="9"/>
      <c r="L37" s="10"/>
      <c r="M37" s="7"/>
      <c r="N37" s="44"/>
      <c r="O37" s="45"/>
      <c r="P37" s="56"/>
      <c r="Q37" s="56"/>
      <c r="R37" s="56"/>
      <c r="S37" s="56"/>
      <c r="T37" s="56"/>
      <c r="W37" s="124"/>
    </row>
    <row r="38" spans="1:23" x14ac:dyDescent="0.2">
      <c r="A38" s="12"/>
      <c r="G38" s="54"/>
      <c r="H38" s="54"/>
      <c r="I38" s="54"/>
      <c r="J38" s="55"/>
      <c r="K38" s="55"/>
      <c r="L38" s="54"/>
      <c r="P38" s="57">
        <f>SUM(P7:P37)</f>
        <v>0</v>
      </c>
      <c r="Q38" s="57">
        <f>SUM(Q7:Q37)</f>
        <v>0</v>
      </c>
      <c r="R38" s="57">
        <f>SUM(R7:R37)</f>
        <v>0</v>
      </c>
      <c r="S38" s="57">
        <f>SUM(S7:S37)</f>
        <v>0</v>
      </c>
      <c r="T38" s="57">
        <f>SUM(T7:T37)</f>
        <v>0</v>
      </c>
    </row>
    <row r="40" spans="1:23" x14ac:dyDescent="0.2">
      <c r="A40" s="13" t="str">
        <f>Blankettinfo</f>
        <v>Version 4.6 © LiU 2025-12-03</v>
      </c>
    </row>
  </sheetData>
  <mergeCells count="35">
    <mergeCell ref="G36:I36"/>
    <mergeCell ref="G27:I27"/>
    <mergeCell ref="G23:I23"/>
    <mergeCell ref="G8:I8"/>
    <mergeCell ref="G17:I17"/>
    <mergeCell ref="G37:I37"/>
    <mergeCell ref="G18:I18"/>
    <mergeCell ref="G34:I34"/>
    <mergeCell ref="G30:I30"/>
    <mergeCell ref="G15:I15"/>
    <mergeCell ref="G33:I33"/>
    <mergeCell ref="G24:I24"/>
    <mergeCell ref="G35:I35"/>
    <mergeCell ref="G20:I20"/>
    <mergeCell ref="G26:I26"/>
    <mergeCell ref="G29:I29"/>
    <mergeCell ref="G25:I25"/>
    <mergeCell ref="G16:I16"/>
    <mergeCell ref="G32:I32"/>
    <mergeCell ref="G22:I22"/>
    <mergeCell ref="G31:I31"/>
    <mergeCell ref="G10:I10"/>
    <mergeCell ref="G28:I28"/>
    <mergeCell ref="G19:I19"/>
    <mergeCell ref="G13:I13"/>
    <mergeCell ref="B1:D1"/>
    <mergeCell ref="G14:I14"/>
    <mergeCell ref="G9:I9"/>
    <mergeCell ref="G12:I12"/>
    <mergeCell ref="G21:I21"/>
    <mergeCell ref="G11:I11"/>
    <mergeCell ref="B3:D3"/>
    <mergeCell ref="G7:I7"/>
    <mergeCell ref="B4:C4"/>
    <mergeCell ref="B2:D2"/>
  </mergeCells>
  <conditionalFormatting sqref="A7:M37">
    <cfRule type="expression" dxfId="11" priority="1" stopIfTrue="1">
      <formula>$U7&gt;4</formula>
    </cfRule>
  </conditionalFormatting>
  <conditionalFormatting sqref="N7:N37">
    <cfRule type="cellIs" dxfId="10" priority="2" stopIfTrue="1" operator="greaterThanOrEqual">
      <formula>0</formula>
    </cfRule>
    <cfRule type="cellIs" dxfId="9" priority="3" stopIfTrue="1" operator="lessThan">
      <formula>0</formula>
    </cfRule>
  </conditionalFormatting>
  <dataValidations count="3">
    <dataValidation type="list" allowBlank="1" showInputMessage="1" showErrorMessage="1" sqref="L7:L37" xr:uid="{00000000-0002-0000-0B00-000000000000}">
      <formula1>"+,-"</formula1>
    </dataValidation>
    <dataValidation type="time" allowBlank="1" showInputMessage="1" showErrorMessage="1" errorTitle="Fel tidsformat" error="Ange tid som timmar och minuter med kolon som skiljetecken - till exempel 9:30 för klockan halv tio på förmiddagen." sqref="B7:C37 J7:K37" xr:uid="{00000000-0002-0000-0B00-000001000000}">
      <formula1>0</formula1>
      <formula2>0.999988425925926</formula2>
    </dataValidation>
    <dataValidation type="time" allowBlank="1" showInputMessage="1" showErrorMessage="1" errorTitle="Fel tidsformat" error="Lunchen måste vara minst 30 minuter - tiden anges med timmar och minuter, till exempel 0:45 för trekvarts timmes lunch." promptTitle="Lunchrast" prompt="Lunchen anges som 30 minuter när &quot;Slutar&quot;-tiden fyllts i. Ändra manuellt om lunchen är längre än 30 minuter." sqref="D7:D37" xr:uid="{00000000-0002-0000-0B00-000002000000}">
      <formula1>0.0208217592592593</formula1>
      <formula2>0.333333333333333</formula2>
    </dataValidation>
  </dataValidations>
  <pageMargins left="0.74803149606299213" right="0.74803149606299213" top="0.98425196850393704" bottom="0.98425196850393704" header="0.51181102362204722" footer="0.51181102362204722"/>
  <pageSetup paperSize="9" scale="64" orientation="landscape"/>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Blad7">
    <pageSetUpPr fitToPage="1"/>
  </sheetPr>
  <dimension ref="A1:Y40"/>
  <sheetViews>
    <sheetView workbookViewId="0"/>
  </sheetViews>
  <sheetFormatPr baseColWidth="10" defaultColWidth="9.140625" defaultRowHeight="15" x14ac:dyDescent="0.2"/>
  <cols>
    <col min="1" max="1" width="8.7109375" style="13" customWidth="1"/>
    <col min="2" max="5" width="10.7109375" style="13" customWidth="1"/>
    <col min="6" max="9" width="10.7109375" style="1" customWidth="1"/>
    <col min="10" max="11" width="8.7109375" style="11" customWidth="1"/>
    <col min="12" max="13" width="8.7109375" style="1" customWidth="1"/>
    <col min="14" max="14" width="7.7109375" style="14" customWidth="1"/>
    <col min="15" max="15" width="33.7109375" style="1" customWidth="1"/>
    <col min="16" max="20" width="10.7109375" style="1" customWidth="1"/>
    <col min="21" max="23" width="9.140625" style="122" hidden="1" customWidth="1"/>
    <col min="24" max="25" width="9.140625" style="120" customWidth="1"/>
    <col min="26" max="26" width="9.140625" style="1" customWidth="1"/>
    <col min="27" max="16384" width="9.140625" style="1"/>
  </cols>
  <sheetData>
    <row r="1" spans="1:24" x14ac:dyDescent="0.2">
      <c r="A1" s="66" t="s">
        <v>0</v>
      </c>
      <c r="B1" s="151" t="str">
        <f>Namn</f>
        <v>Håkan Stensby</v>
      </c>
      <c r="C1" s="152"/>
      <c r="D1" s="152"/>
      <c r="E1" s="47" t="s">
        <v>1</v>
      </c>
      <c r="F1" s="115">
        <f>SUM(F7:F37)</f>
        <v>0</v>
      </c>
      <c r="G1" s="51"/>
      <c r="H1" s="47" t="s">
        <v>2</v>
      </c>
      <c r="I1" s="76">
        <f>VLOOKUP(B3,översikt!A61:C72,3,FALSE)*B4</f>
        <v>176</v>
      </c>
      <c r="J1" s="77"/>
      <c r="K1" s="78"/>
      <c r="L1" s="79"/>
      <c r="M1" s="80"/>
      <c r="N1" s="80"/>
      <c r="O1" s="81"/>
      <c r="P1" s="85"/>
      <c r="Q1" s="85"/>
      <c r="R1" s="85"/>
      <c r="S1" s="85"/>
      <c r="T1" s="85"/>
    </row>
    <row r="2" spans="1:24" x14ac:dyDescent="0.2">
      <c r="A2" s="67" t="s">
        <v>3</v>
      </c>
      <c r="B2" s="161" t="str">
        <f>Pnr</f>
        <v>19770217-6418</v>
      </c>
      <c r="C2" s="154"/>
      <c r="D2" s="154"/>
      <c r="E2" s="53" t="s">
        <v>4</v>
      </c>
      <c r="F2" s="116">
        <f>VALUE(SUM(M7:M37)*24)</f>
        <v>0</v>
      </c>
      <c r="G2" s="48"/>
      <c r="H2" s="53" t="s">
        <v>5</v>
      </c>
      <c r="I2" s="82">
        <f>IF(F3=0,0,F3-I1)</f>
        <v>0</v>
      </c>
      <c r="J2" s="83"/>
      <c r="K2" s="84"/>
      <c r="L2" s="85"/>
      <c r="M2" s="86"/>
      <c r="N2" s="87"/>
      <c r="O2" s="88"/>
      <c r="P2" s="85"/>
      <c r="Q2" s="85"/>
      <c r="R2" s="85"/>
      <c r="S2" s="85"/>
      <c r="T2" s="85"/>
    </row>
    <row r="3" spans="1:24" x14ac:dyDescent="0.2">
      <c r="A3" s="67" t="s">
        <v>6</v>
      </c>
      <c r="B3" s="155">
        <f>översikt!A70</f>
        <v>44834</v>
      </c>
      <c r="C3" s="154"/>
      <c r="D3" s="154"/>
      <c r="E3" s="53" t="s">
        <v>7</v>
      </c>
      <c r="F3" s="116">
        <f>F1+F2</f>
        <v>0</v>
      </c>
      <c r="G3" s="49"/>
      <c r="H3" s="53" t="s">
        <v>8</v>
      </c>
      <c r="I3" s="82" t="str">
        <f ca="1">september!I4</f>
        <v>-</v>
      </c>
      <c r="J3" s="84"/>
      <c r="K3" s="85"/>
      <c r="L3" s="85"/>
      <c r="M3" s="89"/>
      <c r="N3" s="87"/>
      <c r="O3" s="88"/>
      <c r="P3" s="85"/>
      <c r="Q3" s="85"/>
      <c r="R3" s="85"/>
      <c r="S3" s="85"/>
      <c r="T3" s="85"/>
      <c r="W3" s="123"/>
    </row>
    <row r="4" spans="1:24" x14ac:dyDescent="0.2">
      <c r="A4" s="67" t="s">
        <v>9</v>
      </c>
      <c r="B4" s="159">
        <f>Tjgrad</f>
        <v>1</v>
      </c>
      <c r="C4" s="160"/>
      <c r="D4" s="52"/>
      <c r="E4" s="53" t="s">
        <v>10</v>
      </c>
      <c r="F4" s="50"/>
      <c r="G4" s="49"/>
      <c r="H4" s="53" t="s">
        <v>11</v>
      </c>
      <c r="I4" s="131" t="str">
        <f ca="1">IF(N7="", "-", OFFSET(N6, COUNT(N:N), 0, 1, 1) + I3)</f>
        <v>-</v>
      </c>
      <c r="J4" s="84"/>
      <c r="K4" s="85"/>
      <c r="L4" s="85"/>
      <c r="M4" s="89"/>
      <c r="N4" s="87"/>
      <c r="O4" s="88"/>
      <c r="P4" s="90" t="s">
        <v>12</v>
      </c>
      <c r="Q4" s="85"/>
      <c r="R4" s="85"/>
      <c r="S4" s="85"/>
      <c r="T4" s="85"/>
    </row>
    <row r="5" spans="1:24" x14ac:dyDescent="0.2">
      <c r="A5" s="68"/>
      <c r="B5" s="70" t="s">
        <v>13</v>
      </c>
      <c r="C5" s="70"/>
      <c r="D5" s="70"/>
      <c r="E5" s="70"/>
      <c r="F5" s="70"/>
      <c r="G5" s="70"/>
      <c r="H5" s="70"/>
      <c r="I5" s="70"/>
      <c r="J5" s="70" t="s">
        <v>14</v>
      </c>
      <c r="K5" s="70"/>
      <c r="L5" s="70"/>
      <c r="M5" s="70"/>
      <c r="N5" s="71" t="s">
        <v>15</v>
      </c>
      <c r="O5" s="72"/>
      <c r="P5" s="91" t="s">
        <v>16</v>
      </c>
      <c r="Q5" s="70"/>
      <c r="R5" s="70"/>
      <c r="S5" s="70"/>
      <c r="T5" s="70"/>
      <c r="U5" s="122" t="s">
        <v>17</v>
      </c>
      <c r="V5" s="122" t="s">
        <v>18</v>
      </c>
      <c r="W5" s="122" t="s">
        <v>19</v>
      </c>
    </row>
    <row r="6" spans="1:24" x14ac:dyDescent="0.2">
      <c r="A6" s="69" t="s">
        <v>17</v>
      </c>
      <c r="B6" s="73" t="s">
        <v>20</v>
      </c>
      <c r="C6" s="73" t="s">
        <v>21</v>
      </c>
      <c r="D6" s="73" t="s">
        <v>22</v>
      </c>
      <c r="E6" s="73" t="s">
        <v>23</v>
      </c>
      <c r="F6" s="73" t="s">
        <v>24</v>
      </c>
      <c r="G6" s="73" t="s">
        <v>25</v>
      </c>
      <c r="H6" s="73"/>
      <c r="I6" s="73"/>
      <c r="J6" s="73" t="s">
        <v>26</v>
      </c>
      <c r="K6" s="73" t="s">
        <v>27</v>
      </c>
      <c r="L6" s="73" t="s">
        <v>28</v>
      </c>
      <c r="M6" s="73" t="s">
        <v>29</v>
      </c>
      <c r="N6" s="74" t="s">
        <v>30</v>
      </c>
      <c r="O6" s="75" t="s">
        <v>31</v>
      </c>
      <c r="P6" s="113"/>
      <c r="Q6" s="113"/>
      <c r="R6" s="113"/>
      <c r="S6" s="113"/>
      <c r="T6" s="113"/>
    </row>
    <row r="7" spans="1:24" x14ac:dyDescent="0.2">
      <c r="A7" s="2">
        <f>B3</f>
        <v>44834</v>
      </c>
      <c r="B7" s="3"/>
      <c r="C7" s="3"/>
      <c r="D7" s="3" t="str">
        <f t="shared" ref="D7:D37" si="0">IF(C7="","",0.5/24)</f>
        <v/>
      </c>
      <c r="E7" s="4">
        <f t="shared" ref="E7:E37" si="1">IF(C7="",0,C7-B7-D7)</f>
        <v>0</v>
      </c>
      <c r="F7" s="5">
        <f t="shared" ref="F7:F37" si="2">IF(E7="","",VALUE(E7)*24)</f>
        <v>0</v>
      </c>
      <c r="G7" s="156"/>
      <c r="H7" s="157"/>
      <c r="I7" s="158"/>
      <c r="J7" s="3"/>
      <c r="K7" s="3"/>
      <c r="L7" s="6"/>
      <c r="M7" s="7">
        <f t="shared" ref="M7:M37" si="3">IF(OR(G7="Semester",G7="Sjuk",G7="Vård av barn"),8/24*$B$4,IF(L7="+",K7-J7,IF(L7="-",(K7-J7)*-1,0)))</f>
        <v>0</v>
      </c>
      <c r="N7" s="42" t="str">
        <f t="shared" ref="N7:N37" ca="1" si="4">IF(Dagen&gt;A7,W7-V7,"")</f>
        <v/>
      </c>
      <c r="O7" s="43"/>
      <c r="P7" s="56"/>
      <c r="Q7" s="56"/>
      <c r="R7" s="56"/>
      <c r="S7" s="56"/>
      <c r="T7" s="56"/>
      <c r="U7" s="125">
        <f t="shared" ref="U7:U37" si="5">IF(A7="",0,WEEKDAY(A7,3))</f>
        <v>3</v>
      </c>
      <c r="V7" s="122">
        <f t="shared" ref="V7:V37" si="6">IF(U7&gt;4,V6,V6+$B$4*8)</f>
        <v>8</v>
      </c>
      <c r="W7" s="124">
        <f t="shared" ref="W7:W37" si="7">VALUE(E7)*24+VALUE(M7)*24+W6</f>
        <v>0</v>
      </c>
    </row>
    <row r="8" spans="1:24" x14ac:dyDescent="0.2">
      <c r="A8" s="8">
        <f t="shared" ref="A8:A37" si="8">A7+1</f>
        <v>44835</v>
      </c>
      <c r="B8" s="9"/>
      <c r="C8" s="9"/>
      <c r="D8" s="3" t="str">
        <f t="shared" si="0"/>
        <v/>
      </c>
      <c r="E8" s="4">
        <f t="shared" si="1"/>
        <v>0</v>
      </c>
      <c r="F8" s="5">
        <f t="shared" si="2"/>
        <v>0</v>
      </c>
      <c r="G8" s="146"/>
      <c r="H8" s="147"/>
      <c r="I8" s="148"/>
      <c r="J8" s="9"/>
      <c r="K8" s="9"/>
      <c r="L8" s="10"/>
      <c r="M8" s="7">
        <f t="shared" si="3"/>
        <v>0</v>
      </c>
      <c r="N8" s="44" t="str">
        <f t="shared" ca="1" si="4"/>
        <v/>
      </c>
      <c r="O8" s="45"/>
      <c r="P8" s="56"/>
      <c r="Q8" s="56"/>
      <c r="R8" s="56"/>
      <c r="S8" s="56"/>
      <c r="T8" s="56"/>
      <c r="U8" s="122">
        <f t="shared" si="5"/>
        <v>4</v>
      </c>
      <c r="V8" s="122">
        <f t="shared" si="6"/>
        <v>16</v>
      </c>
      <c r="W8" s="124">
        <f t="shared" si="7"/>
        <v>0</v>
      </c>
      <c r="X8" s="121"/>
    </row>
    <row r="9" spans="1:24" x14ac:dyDescent="0.2">
      <c r="A9" s="8">
        <f t="shared" si="8"/>
        <v>44836</v>
      </c>
      <c r="B9" s="9"/>
      <c r="C9" s="9"/>
      <c r="D9" s="3" t="str">
        <f t="shared" si="0"/>
        <v/>
      </c>
      <c r="E9" s="4">
        <f t="shared" si="1"/>
        <v>0</v>
      </c>
      <c r="F9" s="5">
        <f t="shared" si="2"/>
        <v>0</v>
      </c>
      <c r="G9" s="146"/>
      <c r="H9" s="147"/>
      <c r="I9" s="148"/>
      <c r="J9" s="9"/>
      <c r="K9" s="9"/>
      <c r="L9" s="10"/>
      <c r="M9" s="7">
        <f t="shared" si="3"/>
        <v>0</v>
      </c>
      <c r="N9" s="44" t="str">
        <f t="shared" ca="1" si="4"/>
        <v/>
      </c>
      <c r="O9" s="45"/>
      <c r="P9" s="56"/>
      <c r="Q9" s="56"/>
      <c r="R9" s="56"/>
      <c r="S9" s="56"/>
      <c r="T9" s="56"/>
      <c r="U9" s="122">
        <f t="shared" si="5"/>
        <v>5</v>
      </c>
      <c r="V9" s="122">
        <f t="shared" si="6"/>
        <v>16</v>
      </c>
      <c r="W9" s="124">
        <f t="shared" si="7"/>
        <v>0</v>
      </c>
      <c r="X9" s="121"/>
    </row>
    <row r="10" spans="1:24" x14ac:dyDescent="0.2">
      <c r="A10" s="8">
        <f t="shared" si="8"/>
        <v>44837</v>
      </c>
      <c r="B10" s="9"/>
      <c r="C10" s="9"/>
      <c r="D10" s="3" t="str">
        <f t="shared" si="0"/>
        <v/>
      </c>
      <c r="E10" s="4">
        <f t="shared" si="1"/>
        <v>0</v>
      </c>
      <c r="F10" s="5">
        <f t="shared" si="2"/>
        <v>0</v>
      </c>
      <c r="G10" s="167"/>
      <c r="H10" s="168"/>
      <c r="I10" s="169"/>
      <c r="J10" s="34"/>
      <c r="K10" s="34"/>
      <c r="L10" s="35"/>
      <c r="M10" s="7">
        <f t="shared" si="3"/>
        <v>0</v>
      </c>
      <c r="N10" s="44" t="str">
        <f t="shared" ca="1" si="4"/>
        <v/>
      </c>
      <c r="O10" s="45"/>
      <c r="P10" s="56"/>
      <c r="Q10" s="56"/>
      <c r="R10" s="56"/>
      <c r="S10" s="56"/>
      <c r="T10" s="56"/>
      <c r="U10" s="122">
        <f t="shared" si="5"/>
        <v>6</v>
      </c>
      <c r="V10" s="122">
        <f t="shared" si="6"/>
        <v>16</v>
      </c>
      <c r="W10" s="124">
        <f t="shared" si="7"/>
        <v>0</v>
      </c>
      <c r="X10" s="121"/>
    </row>
    <row r="11" spans="1:24" x14ac:dyDescent="0.2">
      <c r="A11" s="8">
        <f t="shared" si="8"/>
        <v>44838</v>
      </c>
      <c r="B11" s="9"/>
      <c r="C11" s="9"/>
      <c r="D11" s="3" t="str">
        <f t="shared" si="0"/>
        <v/>
      </c>
      <c r="E11" s="4">
        <f t="shared" si="1"/>
        <v>0</v>
      </c>
      <c r="F11" s="5">
        <f t="shared" si="2"/>
        <v>0</v>
      </c>
      <c r="G11" s="146"/>
      <c r="H11" s="147"/>
      <c r="I11" s="148"/>
      <c r="J11" s="9"/>
      <c r="K11" s="9"/>
      <c r="L11" s="10"/>
      <c r="M11" s="7">
        <f t="shared" si="3"/>
        <v>0</v>
      </c>
      <c r="N11" s="44" t="str">
        <f t="shared" ca="1" si="4"/>
        <v/>
      </c>
      <c r="O11" s="45"/>
      <c r="P11" s="56"/>
      <c r="Q11" s="56"/>
      <c r="R11" s="56"/>
      <c r="S11" s="56"/>
      <c r="T11" s="56"/>
      <c r="U11" s="122">
        <f t="shared" si="5"/>
        <v>0</v>
      </c>
      <c r="V11" s="125">
        <f t="shared" si="6"/>
        <v>24</v>
      </c>
      <c r="W11" s="124">
        <f t="shared" si="7"/>
        <v>0</v>
      </c>
      <c r="X11" s="121"/>
    </row>
    <row r="12" spans="1:24" x14ac:dyDescent="0.2">
      <c r="A12" s="8">
        <f t="shared" si="8"/>
        <v>44839</v>
      </c>
      <c r="B12" s="9"/>
      <c r="C12" s="9"/>
      <c r="D12" s="3" t="str">
        <f t="shared" si="0"/>
        <v/>
      </c>
      <c r="E12" s="4">
        <f t="shared" si="1"/>
        <v>0</v>
      </c>
      <c r="F12" s="5">
        <f t="shared" si="2"/>
        <v>0</v>
      </c>
      <c r="G12" s="156"/>
      <c r="H12" s="157"/>
      <c r="I12" s="158"/>
      <c r="J12" s="3"/>
      <c r="K12" s="3"/>
      <c r="L12" s="6"/>
      <c r="M12" s="7">
        <f t="shared" si="3"/>
        <v>0</v>
      </c>
      <c r="N12" s="44" t="str">
        <f t="shared" ca="1" si="4"/>
        <v/>
      </c>
      <c r="O12" s="45"/>
      <c r="P12" s="56"/>
      <c r="Q12" s="56"/>
      <c r="R12" s="56"/>
      <c r="S12" s="56"/>
      <c r="T12" s="56"/>
      <c r="U12" s="125">
        <f t="shared" si="5"/>
        <v>1</v>
      </c>
      <c r="V12" s="122">
        <f t="shared" si="6"/>
        <v>32</v>
      </c>
      <c r="W12" s="124">
        <f t="shared" si="7"/>
        <v>0</v>
      </c>
      <c r="X12" s="121"/>
    </row>
    <row r="13" spans="1:24" x14ac:dyDescent="0.2">
      <c r="A13" s="8">
        <f t="shared" si="8"/>
        <v>44840</v>
      </c>
      <c r="B13" s="9"/>
      <c r="C13" s="9"/>
      <c r="D13" s="3" t="str">
        <f t="shared" si="0"/>
        <v/>
      </c>
      <c r="E13" s="4">
        <f t="shared" si="1"/>
        <v>0</v>
      </c>
      <c r="F13" s="5">
        <f t="shared" si="2"/>
        <v>0</v>
      </c>
      <c r="G13" s="146"/>
      <c r="H13" s="147"/>
      <c r="I13" s="148"/>
      <c r="J13" s="9"/>
      <c r="K13" s="9"/>
      <c r="L13" s="10"/>
      <c r="M13" s="7">
        <f t="shared" si="3"/>
        <v>0</v>
      </c>
      <c r="N13" s="44" t="str">
        <f t="shared" ca="1" si="4"/>
        <v/>
      </c>
      <c r="O13" s="45"/>
      <c r="P13" s="56"/>
      <c r="Q13" s="56"/>
      <c r="R13" s="56"/>
      <c r="S13" s="56"/>
      <c r="T13" s="56"/>
      <c r="U13" s="122">
        <f t="shared" si="5"/>
        <v>2</v>
      </c>
      <c r="V13" s="122">
        <f t="shared" si="6"/>
        <v>40</v>
      </c>
      <c r="W13" s="124">
        <f t="shared" si="7"/>
        <v>0</v>
      </c>
      <c r="X13" s="121"/>
    </row>
    <row r="14" spans="1:24" x14ac:dyDescent="0.2">
      <c r="A14" s="8">
        <f t="shared" si="8"/>
        <v>44841</v>
      </c>
      <c r="B14" s="9"/>
      <c r="C14" s="9"/>
      <c r="D14" s="3" t="str">
        <f t="shared" si="0"/>
        <v/>
      </c>
      <c r="E14" s="4">
        <f t="shared" si="1"/>
        <v>0</v>
      </c>
      <c r="F14" s="5">
        <f t="shared" si="2"/>
        <v>0</v>
      </c>
      <c r="G14" s="146"/>
      <c r="H14" s="147"/>
      <c r="I14" s="148"/>
      <c r="J14" s="9"/>
      <c r="K14" s="9"/>
      <c r="L14" s="10"/>
      <c r="M14" s="7">
        <f t="shared" si="3"/>
        <v>0</v>
      </c>
      <c r="N14" s="44" t="str">
        <f t="shared" ca="1" si="4"/>
        <v/>
      </c>
      <c r="O14" s="45"/>
      <c r="P14" s="56"/>
      <c r="Q14" s="56"/>
      <c r="R14" s="56"/>
      <c r="S14" s="56"/>
      <c r="T14" s="56"/>
      <c r="U14" s="122">
        <f t="shared" si="5"/>
        <v>3</v>
      </c>
      <c r="V14" s="122">
        <f t="shared" si="6"/>
        <v>48</v>
      </c>
      <c r="W14" s="124">
        <f t="shared" si="7"/>
        <v>0</v>
      </c>
      <c r="X14" s="121"/>
    </row>
    <row r="15" spans="1:24" x14ac:dyDescent="0.2">
      <c r="A15" s="8">
        <f t="shared" si="8"/>
        <v>44842</v>
      </c>
      <c r="B15" s="9"/>
      <c r="C15" s="9"/>
      <c r="D15" s="3" t="str">
        <f t="shared" si="0"/>
        <v/>
      </c>
      <c r="E15" s="4">
        <f t="shared" si="1"/>
        <v>0</v>
      </c>
      <c r="F15" s="5">
        <f t="shared" si="2"/>
        <v>0</v>
      </c>
      <c r="G15" s="146"/>
      <c r="H15" s="147"/>
      <c r="I15" s="148"/>
      <c r="J15" s="9"/>
      <c r="K15" s="9"/>
      <c r="L15" s="10"/>
      <c r="M15" s="7">
        <f t="shared" si="3"/>
        <v>0</v>
      </c>
      <c r="N15" s="44" t="str">
        <f t="shared" ca="1" si="4"/>
        <v/>
      </c>
      <c r="O15" s="45"/>
      <c r="P15" s="56"/>
      <c r="Q15" s="56"/>
      <c r="R15" s="56"/>
      <c r="S15" s="56"/>
      <c r="T15" s="56"/>
      <c r="U15" s="122">
        <f t="shared" si="5"/>
        <v>4</v>
      </c>
      <c r="V15" s="122">
        <f t="shared" si="6"/>
        <v>56</v>
      </c>
      <c r="W15" s="124">
        <f t="shared" si="7"/>
        <v>0</v>
      </c>
    </row>
    <row r="16" spans="1:24" x14ac:dyDescent="0.2">
      <c r="A16" s="8">
        <f t="shared" si="8"/>
        <v>44843</v>
      </c>
      <c r="B16" s="9"/>
      <c r="C16" s="9"/>
      <c r="D16" s="3" t="str">
        <f t="shared" si="0"/>
        <v/>
      </c>
      <c r="E16" s="4">
        <f t="shared" si="1"/>
        <v>0</v>
      </c>
      <c r="F16" s="5">
        <f t="shared" si="2"/>
        <v>0</v>
      </c>
      <c r="G16" s="146"/>
      <c r="H16" s="147"/>
      <c r="I16" s="148"/>
      <c r="J16" s="9"/>
      <c r="K16" s="9"/>
      <c r="L16" s="10"/>
      <c r="M16" s="7">
        <f t="shared" si="3"/>
        <v>0</v>
      </c>
      <c r="N16" s="44" t="str">
        <f t="shared" ca="1" si="4"/>
        <v/>
      </c>
      <c r="O16" s="45"/>
      <c r="P16" s="56"/>
      <c r="Q16" s="56"/>
      <c r="R16" s="56"/>
      <c r="S16" s="56"/>
      <c r="T16" s="56"/>
      <c r="U16" s="122">
        <f t="shared" si="5"/>
        <v>5</v>
      </c>
      <c r="V16" s="122">
        <f t="shared" si="6"/>
        <v>56</v>
      </c>
      <c r="W16" s="124">
        <f t="shared" si="7"/>
        <v>0</v>
      </c>
    </row>
    <row r="17" spans="1:23" x14ac:dyDescent="0.2">
      <c r="A17" s="8">
        <f t="shared" si="8"/>
        <v>44844</v>
      </c>
      <c r="B17" s="9"/>
      <c r="C17" s="9"/>
      <c r="D17" s="3" t="str">
        <f t="shared" si="0"/>
        <v/>
      </c>
      <c r="E17" s="4">
        <f t="shared" si="1"/>
        <v>0</v>
      </c>
      <c r="F17" s="5">
        <f t="shared" si="2"/>
        <v>0</v>
      </c>
      <c r="G17" s="146"/>
      <c r="H17" s="147"/>
      <c r="I17" s="148"/>
      <c r="J17" s="9"/>
      <c r="K17" s="9"/>
      <c r="L17" s="10"/>
      <c r="M17" s="7">
        <f t="shared" si="3"/>
        <v>0</v>
      </c>
      <c r="N17" s="44" t="str">
        <f t="shared" ca="1" si="4"/>
        <v/>
      </c>
      <c r="O17" s="45"/>
      <c r="P17" s="56"/>
      <c r="Q17" s="56"/>
      <c r="R17" s="56"/>
      <c r="S17" s="56"/>
      <c r="T17" s="56"/>
      <c r="U17" s="122">
        <f t="shared" si="5"/>
        <v>6</v>
      </c>
      <c r="V17" s="122">
        <f t="shared" si="6"/>
        <v>56</v>
      </c>
      <c r="W17" s="124">
        <f t="shared" si="7"/>
        <v>0</v>
      </c>
    </row>
    <row r="18" spans="1:23" x14ac:dyDescent="0.2">
      <c r="A18" s="8">
        <f t="shared" si="8"/>
        <v>44845</v>
      </c>
      <c r="B18" s="9"/>
      <c r="C18" s="9"/>
      <c r="D18" s="3" t="str">
        <f t="shared" si="0"/>
        <v/>
      </c>
      <c r="E18" s="4">
        <f t="shared" si="1"/>
        <v>0</v>
      </c>
      <c r="F18" s="5">
        <f t="shared" si="2"/>
        <v>0</v>
      </c>
      <c r="G18" s="146"/>
      <c r="H18" s="147"/>
      <c r="I18" s="148"/>
      <c r="J18" s="9"/>
      <c r="K18" s="9"/>
      <c r="L18" s="10"/>
      <c r="M18" s="7">
        <f t="shared" si="3"/>
        <v>0</v>
      </c>
      <c r="N18" s="44" t="str">
        <f t="shared" ca="1" si="4"/>
        <v/>
      </c>
      <c r="O18" s="45"/>
      <c r="P18" s="56"/>
      <c r="Q18" s="56"/>
      <c r="R18" s="56"/>
      <c r="S18" s="56"/>
      <c r="T18" s="56"/>
      <c r="U18" s="122">
        <f t="shared" si="5"/>
        <v>0</v>
      </c>
      <c r="V18" s="122">
        <f t="shared" si="6"/>
        <v>64</v>
      </c>
      <c r="W18" s="124">
        <f t="shared" si="7"/>
        <v>0</v>
      </c>
    </row>
    <row r="19" spans="1:23" x14ac:dyDescent="0.2">
      <c r="A19" s="8">
        <f t="shared" si="8"/>
        <v>44846</v>
      </c>
      <c r="B19" s="9"/>
      <c r="C19" s="9"/>
      <c r="D19" s="3" t="str">
        <f t="shared" si="0"/>
        <v/>
      </c>
      <c r="E19" s="4">
        <f t="shared" si="1"/>
        <v>0</v>
      </c>
      <c r="F19" s="5">
        <f t="shared" si="2"/>
        <v>0</v>
      </c>
      <c r="G19" s="146"/>
      <c r="H19" s="147"/>
      <c r="I19" s="148"/>
      <c r="J19" s="9"/>
      <c r="K19" s="9"/>
      <c r="L19" s="10"/>
      <c r="M19" s="7">
        <f t="shared" si="3"/>
        <v>0</v>
      </c>
      <c r="N19" s="44" t="str">
        <f t="shared" ca="1" si="4"/>
        <v/>
      </c>
      <c r="O19" s="45"/>
      <c r="P19" s="56"/>
      <c r="Q19" s="56"/>
      <c r="R19" s="56"/>
      <c r="S19" s="56"/>
      <c r="T19" s="56"/>
      <c r="U19" s="122">
        <f t="shared" si="5"/>
        <v>1</v>
      </c>
      <c r="V19" s="122">
        <f t="shared" si="6"/>
        <v>72</v>
      </c>
      <c r="W19" s="124">
        <f t="shared" si="7"/>
        <v>0</v>
      </c>
    </row>
    <row r="20" spans="1:23" x14ac:dyDescent="0.2">
      <c r="A20" s="8">
        <f t="shared" si="8"/>
        <v>44847</v>
      </c>
      <c r="B20" s="9"/>
      <c r="C20" s="144"/>
      <c r="D20" s="3" t="str">
        <f t="shared" si="0"/>
        <v/>
      </c>
      <c r="E20" s="4">
        <f t="shared" si="1"/>
        <v>0</v>
      </c>
      <c r="F20" s="5">
        <f t="shared" si="2"/>
        <v>0</v>
      </c>
      <c r="G20" s="146"/>
      <c r="H20" s="147"/>
      <c r="I20" s="148"/>
      <c r="J20" s="9"/>
      <c r="K20" s="9"/>
      <c r="L20" s="10"/>
      <c r="M20" s="7">
        <f t="shared" si="3"/>
        <v>0</v>
      </c>
      <c r="N20" s="44" t="str">
        <f t="shared" ca="1" si="4"/>
        <v/>
      </c>
      <c r="O20" s="45"/>
      <c r="P20" s="56"/>
      <c r="Q20" s="56"/>
      <c r="R20" s="56"/>
      <c r="S20" s="56"/>
      <c r="T20" s="56"/>
      <c r="U20" s="122">
        <f t="shared" si="5"/>
        <v>2</v>
      </c>
      <c r="V20" s="122">
        <f t="shared" si="6"/>
        <v>80</v>
      </c>
      <c r="W20" s="124">
        <f t="shared" si="7"/>
        <v>0</v>
      </c>
    </row>
    <row r="21" spans="1:23" x14ac:dyDescent="0.2">
      <c r="A21" s="8">
        <f t="shared" si="8"/>
        <v>44848</v>
      </c>
      <c r="B21" s="9"/>
      <c r="C21" s="9"/>
      <c r="D21" s="3" t="str">
        <f t="shared" si="0"/>
        <v/>
      </c>
      <c r="E21" s="4">
        <f t="shared" si="1"/>
        <v>0</v>
      </c>
      <c r="F21" s="5">
        <f t="shared" si="2"/>
        <v>0</v>
      </c>
      <c r="G21" s="146"/>
      <c r="H21" s="147"/>
      <c r="I21" s="148"/>
      <c r="J21" s="9"/>
      <c r="K21" s="9"/>
      <c r="L21" s="10"/>
      <c r="M21" s="7">
        <f t="shared" si="3"/>
        <v>0</v>
      </c>
      <c r="N21" s="44" t="str">
        <f t="shared" ca="1" si="4"/>
        <v/>
      </c>
      <c r="O21" s="45"/>
      <c r="P21" s="56"/>
      <c r="Q21" s="56"/>
      <c r="R21" s="56"/>
      <c r="S21" s="56"/>
      <c r="T21" s="56"/>
      <c r="U21" s="122">
        <f t="shared" si="5"/>
        <v>3</v>
      </c>
      <c r="V21" s="122">
        <f t="shared" si="6"/>
        <v>88</v>
      </c>
      <c r="W21" s="124">
        <f t="shared" si="7"/>
        <v>0</v>
      </c>
    </row>
    <row r="22" spans="1:23" x14ac:dyDescent="0.2">
      <c r="A22" s="8">
        <f t="shared" si="8"/>
        <v>44849</v>
      </c>
      <c r="B22" s="9"/>
      <c r="C22" s="144"/>
      <c r="D22" s="3" t="str">
        <f t="shared" si="0"/>
        <v/>
      </c>
      <c r="E22" s="4">
        <f t="shared" si="1"/>
        <v>0</v>
      </c>
      <c r="F22" s="5">
        <f t="shared" si="2"/>
        <v>0</v>
      </c>
      <c r="G22" s="146"/>
      <c r="H22" s="147"/>
      <c r="I22" s="148"/>
      <c r="J22" s="9"/>
      <c r="K22" s="9"/>
      <c r="L22" s="10"/>
      <c r="M22" s="7">
        <f t="shared" si="3"/>
        <v>0</v>
      </c>
      <c r="N22" s="44" t="str">
        <f t="shared" ca="1" si="4"/>
        <v/>
      </c>
      <c r="O22" s="45"/>
      <c r="P22" s="56"/>
      <c r="Q22" s="56"/>
      <c r="R22" s="56"/>
      <c r="S22" s="56"/>
      <c r="T22" s="56"/>
      <c r="U22" s="122">
        <f t="shared" si="5"/>
        <v>4</v>
      </c>
      <c r="V22" s="122">
        <f t="shared" si="6"/>
        <v>96</v>
      </c>
      <c r="W22" s="124">
        <f t="shared" si="7"/>
        <v>0</v>
      </c>
    </row>
    <row r="23" spans="1:23" x14ac:dyDescent="0.2">
      <c r="A23" s="8">
        <f t="shared" si="8"/>
        <v>44850</v>
      </c>
      <c r="B23" s="9"/>
      <c r="C23" s="9"/>
      <c r="D23" s="3" t="str">
        <f t="shared" si="0"/>
        <v/>
      </c>
      <c r="E23" s="4">
        <f t="shared" si="1"/>
        <v>0</v>
      </c>
      <c r="F23" s="5">
        <f t="shared" si="2"/>
        <v>0</v>
      </c>
      <c r="G23" s="146"/>
      <c r="H23" s="147"/>
      <c r="I23" s="148"/>
      <c r="J23" s="9"/>
      <c r="K23" s="9"/>
      <c r="L23" s="10"/>
      <c r="M23" s="7">
        <f t="shared" si="3"/>
        <v>0</v>
      </c>
      <c r="N23" s="44" t="str">
        <f t="shared" ca="1" si="4"/>
        <v/>
      </c>
      <c r="O23" s="45"/>
      <c r="P23" s="56"/>
      <c r="Q23" s="56"/>
      <c r="R23" s="56"/>
      <c r="S23" s="56"/>
      <c r="T23" s="56"/>
      <c r="U23" s="122">
        <f t="shared" si="5"/>
        <v>5</v>
      </c>
      <c r="V23" s="122">
        <f t="shared" si="6"/>
        <v>96</v>
      </c>
      <c r="W23" s="124">
        <f t="shared" si="7"/>
        <v>0</v>
      </c>
    </row>
    <row r="24" spans="1:23" x14ac:dyDescent="0.2">
      <c r="A24" s="8">
        <f t="shared" si="8"/>
        <v>44851</v>
      </c>
      <c r="B24" s="9"/>
      <c r="C24" s="9"/>
      <c r="D24" s="3" t="str">
        <f t="shared" si="0"/>
        <v/>
      </c>
      <c r="E24" s="4">
        <f t="shared" si="1"/>
        <v>0</v>
      </c>
      <c r="F24" s="5">
        <f t="shared" si="2"/>
        <v>0</v>
      </c>
      <c r="G24" s="146"/>
      <c r="H24" s="147"/>
      <c r="I24" s="148"/>
      <c r="J24" s="9"/>
      <c r="K24" s="9"/>
      <c r="L24" s="10"/>
      <c r="M24" s="7">
        <f t="shared" si="3"/>
        <v>0</v>
      </c>
      <c r="N24" s="44" t="str">
        <f t="shared" ca="1" si="4"/>
        <v/>
      </c>
      <c r="O24" s="45"/>
      <c r="P24" s="56"/>
      <c r="Q24" s="56"/>
      <c r="R24" s="56"/>
      <c r="S24" s="56"/>
      <c r="T24" s="56"/>
      <c r="U24" s="122">
        <f t="shared" si="5"/>
        <v>6</v>
      </c>
      <c r="V24" s="122">
        <f t="shared" si="6"/>
        <v>96</v>
      </c>
      <c r="W24" s="124">
        <f t="shared" si="7"/>
        <v>0</v>
      </c>
    </row>
    <row r="25" spans="1:23" x14ac:dyDescent="0.2">
      <c r="A25" s="8">
        <f t="shared" si="8"/>
        <v>44852</v>
      </c>
      <c r="B25" s="9"/>
      <c r="C25" s="9"/>
      <c r="D25" s="3" t="str">
        <f t="shared" si="0"/>
        <v/>
      </c>
      <c r="E25" s="4">
        <f t="shared" si="1"/>
        <v>0</v>
      </c>
      <c r="F25" s="5">
        <f t="shared" si="2"/>
        <v>0</v>
      </c>
      <c r="G25" s="146"/>
      <c r="H25" s="147"/>
      <c r="I25" s="148"/>
      <c r="J25" s="9"/>
      <c r="K25" s="9"/>
      <c r="L25" s="10"/>
      <c r="M25" s="7">
        <f t="shared" si="3"/>
        <v>0</v>
      </c>
      <c r="N25" s="44" t="str">
        <f t="shared" ca="1" si="4"/>
        <v/>
      </c>
      <c r="O25" s="45"/>
      <c r="P25" s="56"/>
      <c r="Q25" s="56"/>
      <c r="R25" s="56"/>
      <c r="S25" s="56"/>
      <c r="T25" s="56"/>
      <c r="U25" s="122">
        <f t="shared" si="5"/>
        <v>0</v>
      </c>
      <c r="V25" s="122">
        <f t="shared" si="6"/>
        <v>104</v>
      </c>
      <c r="W25" s="124">
        <f t="shared" si="7"/>
        <v>0</v>
      </c>
    </row>
    <row r="26" spans="1:23" x14ac:dyDescent="0.2">
      <c r="A26" s="8">
        <f t="shared" si="8"/>
        <v>44853</v>
      </c>
      <c r="B26" s="9"/>
      <c r="C26" s="9"/>
      <c r="D26" s="3" t="str">
        <f t="shared" si="0"/>
        <v/>
      </c>
      <c r="E26" s="4">
        <f t="shared" si="1"/>
        <v>0</v>
      </c>
      <c r="F26" s="5">
        <f t="shared" si="2"/>
        <v>0</v>
      </c>
      <c r="G26" s="146"/>
      <c r="H26" s="147"/>
      <c r="I26" s="148"/>
      <c r="J26" s="9"/>
      <c r="K26" s="9"/>
      <c r="L26" s="10"/>
      <c r="M26" s="7">
        <f t="shared" si="3"/>
        <v>0</v>
      </c>
      <c r="N26" s="44" t="str">
        <f t="shared" ca="1" si="4"/>
        <v/>
      </c>
      <c r="O26" s="45"/>
      <c r="P26" s="56"/>
      <c r="Q26" s="56"/>
      <c r="R26" s="56"/>
      <c r="S26" s="56"/>
      <c r="T26" s="56"/>
      <c r="U26" s="122">
        <f t="shared" si="5"/>
        <v>1</v>
      </c>
      <c r="V26" s="122">
        <f t="shared" si="6"/>
        <v>112</v>
      </c>
      <c r="W26" s="124">
        <f t="shared" si="7"/>
        <v>0</v>
      </c>
    </row>
    <row r="27" spans="1:23" x14ac:dyDescent="0.2">
      <c r="A27" s="8">
        <f t="shared" si="8"/>
        <v>44854</v>
      </c>
      <c r="B27" s="9"/>
      <c r="C27" s="9"/>
      <c r="D27" s="3" t="str">
        <f t="shared" si="0"/>
        <v/>
      </c>
      <c r="E27" s="4">
        <f t="shared" si="1"/>
        <v>0</v>
      </c>
      <c r="F27" s="5">
        <f t="shared" si="2"/>
        <v>0</v>
      </c>
      <c r="G27" s="146"/>
      <c r="H27" s="147"/>
      <c r="I27" s="148"/>
      <c r="J27" s="9"/>
      <c r="K27" s="9"/>
      <c r="L27" s="10"/>
      <c r="M27" s="7">
        <f t="shared" si="3"/>
        <v>0</v>
      </c>
      <c r="N27" s="44" t="str">
        <f t="shared" ca="1" si="4"/>
        <v/>
      </c>
      <c r="O27" s="45"/>
      <c r="P27" s="56"/>
      <c r="Q27" s="56"/>
      <c r="R27" s="56"/>
      <c r="S27" s="56"/>
      <c r="T27" s="56"/>
      <c r="U27" s="122">
        <f t="shared" si="5"/>
        <v>2</v>
      </c>
      <c r="V27" s="122">
        <f t="shared" si="6"/>
        <v>120</v>
      </c>
      <c r="W27" s="124">
        <f t="shared" si="7"/>
        <v>0</v>
      </c>
    </row>
    <row r="28" spans="1:23" x14ac:dyDescent="0.2">
      <c r="A28" s="8">
        <f t="shared" si="8"/>
        <v>44855</v>
      </c>
      <c r="B28" s="9"/>
      <c r="C28" s="9"/>
      <c r="D28" s="3" t="str">
        <f t="shared" si="0"/>
        <v/>
      </c>
      <c r="E28" s="4">
        <f t="shared" si="1"/>
        <v>0</v>
      </c>
      <c r="F28" s="5">
        <f t="shared" si="2"/>
        <v>0</v>
      </c>
      <c r="G28" s="146"/>
      <c r="H28" s="147"/>
      <c r="I28" s="148"/>
      <c r="J28" s="9"/>
      <c r="K28" s="9"/>
      <c r="L28" s="10"/>
      <c r="M28" s="7">
        <f t="shared" si="3"/>
        <v>0</v>
      </c>
      <c r="N28" s="44" t="str">
        <f t="shared" ca="1" si="4"/>
        <v/>
      </c>
      <c r="O28" s="45"/>
      <c r="P28" s="56"/>
      <c r="Q28" s="56"/>
      <c r="R28" s="56"/>
      <c r="S28" s="56"/>
      <c r="T28" s="56"/>
      <c r="U28" s="122">
        <f t="shared" si="5"/>
        <v>3</v>
      </c>
      <c r="V28" s="122">
        <f t="shared" si="6"/>
        <v>128</v>
      </c>
      <c r="W28" s="124">
        <f t="shared" si="7"/>
        <v>0</v>
      </c>
    </row>
    <row r="29" spans="1:23" x14ac:dyDescent="0.2">
      <c r="A29" s="8">
        <f t="shared" si="8"/>
        <v>44856</v>
      </c>
      <c r="B29" s="9"/>
      <c r="C29" s="9"/>
      <c r="D29" s="3" t="str">
        <f t="shared" si="0"/>
        <v/>
      </c>
      <c r="E29" s="4">
        <f t="shared" si="1"/>
        <v>0</v>
      </c>
      <c r="F29" s="5">
        <f t="shared" si="2"/>
        <v>0</v>
      </c>
      <c r="G29" s="146"/>
      <c r="H29" s="147"/>
      <c r="I29" s="148"/>
      <c r="J29" s="9"/>
      <c r="K29" s="9"/>
      <c r="L29" s="10"/>
      <c r="M29" s="7">
        <f t="shared" si="3"/>
        <v>0</v>
      </c>
      <c r="N29" s="44" t="str">
        <f t="shared" ca="1" si="4"/>
        <v/>
      </c>
      <c r="O29" s="45"/>
      <c r="P29" s="56"/>
      <c r="Q29" s="56"/>
      <c r="R29" s="56"/>
      <c r="S29" s="56"/>
      <c r="T29" s="56"/>
      <c r="U29" s="122">
        <f t="shared" si="5"/>
        <v>4</v>
      </c>
      <c r="V29" s="122">
        <f t="shared" si="6"/>
        <v>136</v>
      </c>
      <c r="W29" s="124">
        <f t="shared" si="7"/>
        <v>0</v>
      </c>
    </row>
    <row r="30" spans="1:23" x14ac:dyDescent="0.2">
      <c r="A30" s="8">
        <f t="shared" si="8"/>
        <v>44857</v>
      </c>
      <c r="B30" s="9"/>
      <c r="C30" s="9"/>
      <c r="D30" s="3" t="str">
        <f t="shared" si="0"/>
        <v/>
      </c>
      <c r="E30" s="4">
        <f t="shared" si="1"/>
        <v>0</v>
      </c>
      <c r="F30" s="5">
        <f t="shared" si="2"/>
        <v>0</v>
      </c>
      <c r="G30" s="146"/>
      <c r="H30" s="147"/>
      <c r="I30" s="148"/>
      <c r="J30" s="9"/>
      <c r="K30" s="9"/>
      <c r="L30" s="10"/>
      <c r="M30" s="7">
        <f t="shared" si="3"/>
        <v>0</v>
      </c>
      <c r="N30" s="44" t="str">
        <f t="shared" ca="1" si="4"/>
        <v/>
      </c>
      <c r="O30" s="45"/>
      <c r="P30" s="56"/>
      <c r="Q30" s="56"/>
      <c r="R30" s="56"/>
      <c r="S30" s="56"/>
      <c r="T30" s="56"/>
      <c r="U30" s="122">
        <f t="shared" si="5"/>
        <v>5</v>
      </c>
      <c r="V30" s="122">
        <f t="shared" si="6"/>
        <v>136</v>
      </c>
      <c r="W30" s="124">
        <f t="shared" si="7"/>
        <v>0</v>
      </c>
    </row>
    <row r="31" spans="1:23" x14ac:dyDescent="0.2">
      <c r="A31" s="8">
        <f t="shared" si="8"/>
        <v>44858</v>
      </c>
      <c r="B31" s="9"/>
      <c r="C31" s="9"/>
      <c r="D31" s="3" t="str">
        <f t="shared" si="0"/>
        <v/>
      </c>
      <c r="E31" s="4">
        <f t="shared" si="1"/>
        <v>0</v>
      </c>
      <c r="F31" s="5">
        <f t="shared" si="2"/>
        <v>0</v>
      </c>
      <c r="G31" s="146"/>
      <c r="H31" s="147"/>
      <c r="I31" s="148"/>
      <c r="J31" s="9"/>
      <c r="K31" s="9"/>
      <c r="L31" s="10"/>
      <c r="M31" s="7">
        <f t="shared" si="3"/>
        <v>0</v>
      </c>
      <c r="N31" s="44" t="str">
        <f t="shared" ca="1" si="4"/>
        <v/>
      </c>
      <c r="O31" s="45"/>
      <c r="P31" s="56"/>
      <c r="Q31" s="56"/>
      <c r="R31" s="56"/>
      <c r="S31" s="56"/>
      <c r="T31" s="56"/>
      <c r="U31" s="122">
        <f t="shared" si="5"/>
        <v>6</v>
      </c>
      <c r="V31" s="122">
        <f t="shared" si="6"/>
        <v>136</v>
      </c>
      <c r="W31" s="124">
        <f t="shared" si="7"/>
        <v>0</v>
      </c>
    </row>
    <row r="32" spans="1:23" x14ac:dyDescent="0.2">
      <c r="A32" s="8">
        <f t="shared" si="8"/>
        <v>44859</v>
      </c>
      <c r="B32" s="9"/>
      <c r="C32" s="9"/>
      <c r="D32" s="3" t="str">
        <f t="shared" si="0"/>
        <v/>
      </c>
      <c r="E32" s="4">
        <f t="shared" si="1"/>
        <v>0</v>
      </c>
      <c r="F32" s="5">
        <f t="shared" si="2"/>
        <v>0</v>
      </c>
      <c r="G32" s="146"/>
      <c r="H32" s="147"/>
      <c r="I32" s="148"/>
      <c r="J32" s="9"/>
      <c r="K32" s="9"/>
      <c r="L32" s="10"/>
      <c r="M32" s="7">
        <f t="shared" si="3"/>
        <v>0</v>
      </c>
      <c r="N32" s="44" t="str">
        <f t="shared" ca="1" si="4"/>
        <v/>
      </c>
      <c r="O32" s="45"/>
      <c r="P32" s="56"/>
      <c r="Q32" s="56"/>
      <c r="R32" s="56"/>
      <c r="S32" s="56"/>
      <c r="T32" s="56"/>
      <c r="U32" s="122">
        <f t="shared" si="5"/>
        <v>0</v>
      </c>
      <c r="V32" s="122">
        <f t="shared" si="6"/>
        <v>144</v>
      </c>
      <c r="W32" s="124">
        <f t="shared" si="7"/>
        <v>0</v>
      </c>
    </row>
    <row r="33" spans="1:23" x14ac:dyDescent="0.2">
      <c r="A33" s="8">
        <f t="shared" si="8"/>
        <v>44860</v>
      </c>
      <c r="B33" s="9"/>
      <c r="C33" s="9"/>
      <c r="D33" s="3" t="str">
        <f t="shared" si="0"/>
        <v/>
      </c>
      <c r="E33" s="4">
        <f t="shared" si="1"/>
        <v>0</v>
      </c>
      <c r="F33" s="5">
        <f t="shared" si="2"/>
        <v>0</v>
      </c>
      <c r="G33" s="146"/>
      <c r="H33" s="147"/>
      <c r="I33" s="148"/>
      <c r="J33" s="9"/>
      <c r="K33" s="9"/>
      <c r="L33" s="10"/>
      <c r="M33" s="7">
        <f t="shared" si="3"/>
        <v>0</v>
      </c>
      <c r="N33" s="44" t="str">
        <f t="shared" ca="1" si="4"/>
        <v/>
      </c>
      <c r="O33" s="45"/>
      <c r="P33" s="56"/>
      <c r="Q33" s="56"/>
      <c r="R33" s="56"/>
      <c r="S33" s="56"/>
      <c r="T33" s="56"/>
      <c r="U33" s="122">
        <f t="shared" si="5"/>
        <v>1</v>
      </c>
      <c r="V33" s="122">
        <f t="shared" si="6"/>
        <v>152</v>
      </c>
      <c r="W33" s="124">
        <f t="shared" si="7"/>
        <v>0</v>
      </c>
    </row>
    <row r="34" spans="1:23" x14ac:dyDescent="0.2">
      <c r="A34" s="8">
        <f t="shared" si="8"/>
        <v>44861</v>
      </c>
      <c r="B34" s="9"/>
      <c r="C34" s="9"/>
      <c r="D34" s="3" t="str">
        <f t="shared" si="0"/>
        <v/>
      </c>
      <c r="E34" s="4">
        <f t="shared" si="1"/>
        <v>0</v>
      </c>
      <c r="F34" s="5">
        <f t="shared" si="2"/>
        <v>0</v>
      </c>
      <c r="G34" s="146"/>
      <c r="H34" s="147"/>
      <c r="I34" s="148"/>
      <c r="J34" s="9"/>
      <c r="K34" s="9"/>
      <c r="L34" s="10"/>
      <c r="M34" s="7">
        <f t="shared" si="3"/>
        <v>0</v>
      </c>
      <c r="N34" s="44" t="str">
        <f t="shared" ca="1" si="4"/>
        <v/>
      </c>
      <c r="O34" s="45"/>
      <c r="P34" s="56"/>
      <c r="Q34" s="56"/>
      <c r="R34" s="56"/>
      <c r="S34" s="56"/>
      <c r="T34" s="56"/>
      <c r="U34" s="122">
        <f t="shared" si="5"/>
        <v>2</v>
      </c>
      <c r="V34" s="122">
        <f t="shared" si="6"/>
        <v>160</v>
      </c>
      <c r="W34" s="124">
        <f t="shared" si="7"/>
        <v>0</v>
      </c>
    </row>
    <row r="35" spans="1:23" x14ac:dyDescent="0.2">
      <c r="A35" s="8">
        <f t="shared" si="8"/>
        <v>44862</v>
      </c>
      <c r="B35" s="9"/>
      <c r="C35" s="9"/>
      <c r="D35" s="3" t="str">
        <f t="shared" si="0"/>
        <v/>
      </c>
      <c r="E35" s="4">
        <f t="shared" si="1"/>
        <v>0</v>
      </c>
      <c r="F35" s="5">
        <f t="shared" si="2"/>
        <v>0</v>
      </c>
      <c r="G35" s="146"/>
      <c r="H35" s="147"/>
      <c r="I35" s="148"/>
      <c r="J35" s="9"/>
      <c r="K35" s="9"/>
      <c r="L35" s="10"/>
      <c r="M35" s="7">
        <f t="shared" si="3"/>
        <v>0</v>
      </c>
      <c r="N35" s="44" t="str">
        <f t="shared" ca="1" si="4"/>
        <v/>
      </c>
      <c r="O35" s="45"/>
      <c r="P35" s="56"/>
      <c r="Q35" s="56"/>
      <c r="R35" s="56"/>
      <c r="S35" s="56"/>
      <c r="T35" s="56"/>
      <c r="U35" s="122">
        <f t="shared" si="5"/>
        <v>3</v>
      </c>
      <c r="V35" s="122">
        <f t="shared" si="6"/>
        <v>168</v>
      </c>
      <c r="W35" s="124">
        <f t="shared" si="7"/>
        <v>0</v>
      </c>
    </row>
    <row r="36" spans="1:23" x14ac:dyDescent="0.2">
      <c r="A36" s="8">
        <f t="shared" si="8"/>
        <v>44863</v>
      </c>
      <c r="B36" s="9"/>
      <c r="C36" s="9"/>
      <c r="D36" s="3" t="str">
        <f t="shared" si="0"/>
        <v/>
      </c>
      <c r="E36" s="4">
        <f t="shared" si="1"/>
        <v>0</v>
      </c>
      <c r="F36" s="5">
        <f t="shared" si="2"/>
        <v>0</v>
      </c>
      <c r="G36" s="146"/>
      <c r="H36" s="147"/>
      <c r="I36" s="148"/>
      <c r="J36" s="9"/>
      <c r="K36" s="9"/>
      <c r="L36" s="10"/>
      <c r="M36" s="7">
        <f t="shared" si="3"/>
        <v>0</v>
      </c>
      <c r="N36" s="44" t="str">
        <f t="shared" ca="1" si="4"/>
        <v/>
      </c>
      <c r="O36" s="45"/>
      <c r="P36" s="56"/>
      <c r="Q36" s="56"/>
      <c r="R36" s="56"/>
      <c r="S36" s="56"/>
      <c r="T36" s="56"/>
      <c r="U36" s="122">
        <f t="shared" si="5"/>
        <v>4</v>
      </c>
      <c r="V36" s="122">
        <f t="shared" si="6"/>
        <v>176</v>
      </c>
      <c r="W36" s="124">
        <f t="shared" si="7"/>
        <v>0</v>
      </c>
    </row>
    <row r="37" spans="1:23" x14ac:dyDescent="0.2">
      <c r="A37" s="8">
        <f t="shared" si="8"/>
        <v>44864</v>
      </c>
      <c r="B37" s="9"/>
      <c r="C37" s="9"/>
      <c r="D37" s="3" t="str">
        <f t="shared" si="0"/>
        <v/>
      </c>
      <c r="E37" s="4">
        <f t="shared" si="1"/>
        <v>0</v>
      </c>
      <c r="F37" s="5">
        <f t="shared" si="2"/>
        <v>0</v>
      </c>
      <c r="G37" s="146" t="s">
        <v>95</v>
      </c>
      <c r="H37" s="147"/>
      <c r="I37" s="148"/>
      <c r="J37" s="9"/>
      <c r="K37" s="9"/>
      <c r="L37" s="10"/>
      <c r="M37" s="7">
        <f t="shared" si="3"/>
        <v>0</v>
      </c>
      <c r="N37" s="44" t="str">
        <f t="shared" ca="1" si="4"/>
        <v/>
      </c>
      <c r="O37" s="45"/>
      <c r="P37" s="56"/>
      <c r="Q37" s="56"/>
      <c r="R37" s="56"/>
      <c r="S37" s="56"/>
      <c r="T37" s="56"/>
      <c r="U37" s="122">
        <f t="shared" si="5"/>
        <v>5</v>
      </c>
      <c r="V37" s="122">
        <f t="shared" si="6"/>
        <v>176</v>
      </c>
      <c r="W37" s="124">
        <f t="shared" si="7"/>
        <v>0</v>
      </c>
    </row>
    <row r="38" spans="1:23" x14ac:dyDescent="0.2">
      <c r="A38" s="12"/>
      <c r="G38" s="54"/>
      <c r="H38" s="54"/>
      <c r="I38" s="54"/>
      <c r="J38" s="55"/>
      <c r="K38" s="55"/>
      <c r="L38" s="54"/>
      <c r="P38" s="57">
        <f>SUM(P7:P37)</f>
        <v>0</v>
      </c>
      <c r="Q38" s="57">
        <f>SUM(Q7:Q37)</f>
        <v>0</v>
      </c>
      <c r="R38" s="57">
        <f>SUM(R7:R37)</f>
        <v>0</v>
      </c>
      <c r="S38" s="57">
        <f>SUM(S7:S37)</f>
        <v>0</v>
      </c>
      <c r="T38" s="57">
        <f>SUM(T7:T37)</f>
        <v>0</v>
      </c>
    </row>
    <row r="40" spans="1:23" x14ac:dyDescent="0.2">
      <c r="A40" s="13" t="str">
        <f>Blankettinfo</f>
        <v>Version 4.6 © LiU 2025-12-03</v>
      </c>
    </row>
  </sheetData>
  <mergeCells count="35">
    <mergeCell ref="G36:I36"/>
    <mergeCell ref="G27:I27"/>
    <mergeCell ref="G23:I23"/>
    <mergeCell ref="G8:I8"/>
    <mergeCell ref="G17:I17"/>
    <mergeCell ref="G37:I37"/>
    <mergeCell ref="G18:I18"/>
    <mergeCell ref="G34:I34"/>
    <mergeCell ref="G30:I30"/>
    <mergeCell ref="G15:I15"/>
    <mergeCell ref="G33:I33"/>
    <mergeCell ref="G24:I24"/>
    <mergeCell ref="G35:I35"/>
    <mergeCell ref="G20:I20"/>
    <mergeCell ref="G26:I26"/>
    <mergeCell ref="G29:I29"/>
    <mergeCell ref="G25:I25"/>
    <mergeCell ref="G16:I16"/>
    <mergeCell ref="G32:I32"/>
    <mergeCell ref="G22:I22"/>
    <mergeCell ref="G31:I31"/>
    <mergeCell ref="G10:I10"/>
    <mergeCell ref="G28:I28"/>
    <mergeCell ref="G19:I19"/>
    <mergeCell ref="G13:I13"/>
    <mergeCell ref="B1:D1"/>
    <mergeCell ref="G14:I14"/>
    <mergeCell ref="G9:I9"/>
    <mergeCell ref="G12:I12"/>
    <mergeCell ref="G21:I21"/>
    <mergeCell ref="G11:I11"/>
    <mergeCell ref="B3:D3"/>
    <mergeCell ref="G7:I7"/>
    <mergeCell ref="B4:C4"/>
    <mergeCell ref="B2:D2"/>
  </mergeCells>
  <conditionalFormatting sqref="A7:M37">
    <cfRule type="expression" dxfId="8" priority="1" stopIfTrue="1">
      <formula>$U7&gt;4</formula>
    </cfRule>
  </conditionalFormatting>
  <conditionalFormatting sqref="N7:N37">
    <cfRule type="cellIs" dxfId="7" priority="2" stopIfTrue="1" operator="greaterThanOrEqual">
      <formula>0</formula>
    </cfRule>
    <cfRule type="cellIs" dxfId="6" priority="3" stopIfTrue="1" operator="lessThan">
      <formula>0</formula>
    </cfRule>
  </conditionalFormatting>
  <dataValidations count="3">
    <dataValidation type="list" allowBlank="1" showInputMessage="1" showErrorMessage="1" sqref="L7:L37" xr:uid="{00000000-0002-0000-0C00-000000000000}">
      <formula1>"+,-"</formula1>
    </dataValidation>
    <dataValidation type="time" allowBlank="1" showInputMessage="1" showErrorMessage="1" errorTitle="Fel tidsformat" error="Ange tid som timmar och minuter med kolon som skiljetecken - till exempel 9:30 för klockan halv tio på förmiddagen." sqref="B7:C37 J7:K37" xr:uid="{00000000-0002-0000-0C00-000001000000}">
      <formula1>0</formula1>
      <formula2>0.999988425925926</formula2>
    </dataValidation>
    <dataValidation type="time" allowBlank="1" showInputMessage="1" showErrorMessage="1" errorTitle="Fel tidsformat" error="Lunchen måste vara minst 30 minuter - tiden anges med timmar och minuter, till exempel 0:45 för trekvarts timmes lunch." promptTitle="Lunchrast" prompt="Lunchen anges som 30 minuter när &quot;Slutar&quot;-tiden fyllts i. Ändra manuellt om lunchen är längre än 30 minuter." sqref="D7:D37" xr:uid="{00000000-0002-0000-0C00-000002000000}">
      <formula1>0.0208217592592593</formula1>
      <formula2>0.333333333333333</formula2>
    </dataValidation>
  </dataValidations>
  <pageMargins left="0.74803149606299213" right="0.74803149606299213" top="0.98425196850393704" bottom="0.98425196850393704" header="0.51181102362204722" footer="0.51181102362204722"/>
  <pageSetup paperSize="9" scale="64" orientation="landscape"/>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Blad7">
    <pageSetUpPr fitToPage="1"/>
  </sheetPr>
  <dimension ref="A1:Y40"/>
  <sheetViews>
    <sheetView workbookViewId="0"/>
  </sheetViews>
  <sheetFormatPr baseColWidth="10" defaultColWidth="9.140625" defaultRowHeight="15" x14ac:dyDescent="0.2"/>
  <cols>
    <col min="1" max="1" width="8.7109375" style="13" customWidth="1"/>
    <col min="2" max="5" width="10.7109375" style="13" customWidth="1"/>
    <col min="6" max="9" width="10.7109375" style="1" customWidth="1"/>
    <col min="10" max="11" width="8.7109375" style="11" customWidth="1"/>
    <col min="12" max="13" width="8.7109375" style="1" customWidth="1"/>
    <col min="14" max="14" width="7.7109375" style="14" customWidth="1"/>
    <col min="15" max="15" width="33.7109375" style="1" customWidth="1"/>
    <col min="16" max="20" width="10.7109375" style="1" customWidth="1"/>
    <col min="21" max="23" width="9.140625" style="122" hidden="1" customWidth="1"/>
    <col min="24" max="25" width="9.140625" style="120" customWidth="1"/>
    <col min="26" max="26" width="9.140625" style="1" customWidth="1"/>
    <col min="27" max="16384" width="9.140625" style="1"/>
  </cols>
  <sheetData>
    <row r="1" spans="1:24" x14ac:dyDescent="0.2">
      <c r="A1" s="66" t="s">
        <v>0</v>
      </c>
      <c r="B1" s="151" t="str">
        <f>Namn</f>
        <v>Håkan Stensby</v>
      </c>
      <c r="C1" s="152"/>
      <c r="D1" s="152"/>
      <c r="E1" s="47" t="s">
        <v>1</v>
      </c>
      <c r="F1" s="115">
        <f>SUM(F7:F37)</f>
        <v>0</v>
      </c>
      <c r="G1" s="51"/>
      <c r="H1" s="47" t="s">
        <v>2</v>
      </c>
      <c r="I1" s="76">
        <f>VLOOKUP(B3,översikt!A61:C72,3,FALSE)*B4</f>
        <v>168</v>
      </c>
      <c r="J1" s="77"/>
      <c r="K1" s="78"/>
      <c r="L1" s="79"/>
      <c r="M1" s="80"/>
      <c r="N1" s="80"/>
      <c r="O1" s="81"/>
      <c r="P1" s="85"/>
      <c r="Q1" s="85"/>
      <c r="R1" s="85"/>
      <c r="S1" s="85"/>
      <c r="T1" s="85"/>
    </row>
    <row r="2" spans="1:24" x14ac:dyDescent="0.2">
      <c r="A2" s="67" t="s">
        <v>3</v>
      </c>
      <c r="B2" s="161" t="str">
        <f>Pnr</f>
        <v>19770217-6418</v>
      </c>
      <c r="C2" s="154"/>
      <c r="D2" s="154"/>
      <c r="E2" s="53" t="s">
        <v>4</v>
      </c>
      <c r="F2" s="116">
        <f>VALUE(SUM(M7:M37)*24)</f>
        <v>0</v>
      </c>
      <c r="G2" s="48"/>
      <c r="H2" s="53" t="s">
        <v>5</v>
      </c>
      <c r="I2" s="82">
        <f>IF(F3=0,0,F3-I1)</f>
        <v>0</v>
      </c>
      <c r="J2" s="83"/>
      <c r="K2" s="84"/>
      <c r="L2" s="85"/>
      <c r="M2" s="86"/>
      <c r="N2" s="87"/>
      <c r="O2" s="88"/>
      <c r="P2" s="85"/>
      <c r="Q2" s="85"/>
      <c r="R2" s="85"/>
      <c r="S2" s="85"/>
      <c r="T2" s="85"/>
    </row>
    <row r="3" spans="1:24" x14ac:dyDescent="0.2">
      <c r="A3" s="67" t="s">
        <v>6</v>
      </c>
      <c r="B3" s="155">
        <f>översikt!A71</f>
        <v>44865</v>
      </c>
      <c r="C3" s="154"/>
      <c r="D3" s="154"/>
      <c r="E3" s="53" t="s">
        <v>7</v>
      </c>
      <c r="F3" s="116">
        <f>F1+F2</f>
        <v>0</v>
      </c>
      <c r="G3" s="49"/>
      <c r="H3" s="53" t="s">
        <v>8</v>
      </c>
      <c r="I3" s="82" t="str">
        <f ca="1">oktober!I4</f>
        <v>-</v>
      </c>
      <c r="J3" s="84"/>
      <c r="K3" s="85"/>
      <c r="L3" s="85"/>
      <c r="M3" s="89"/>
      <c r="N3" s="87"/>
      <c r="O3" s="88"/>
      <c r="P3" s="85"/>
      <c r="Q3" s="85"/>
      <c r="R3" s="85"/>
      <c r="S3" s="85"/>
      <c r="T3" s="85"/>
      <c r="W3" s="123"/>
    </row>
    <row r="4" spans="1:24" x14ac:dyDescent="0.2">
      <c r="A4" s="67" t="s">
        <v>9</v>
      </c>
      <c r="B4" s="159">
        <f>Tjgrad</f>
        <v>1</v>
      </c>
      <c r="C4" s="160"/>
      <c r="D4" s="52"/>
      <c r="E4" s="53" t="s">
        <v>10</v>
      </c>
      <c r="F4" s="50"/>
      <c r="G4" s="49"/>
      <c r="H4" s="53" t="s">
        <v>11</v>
      </c>
      <c r="I4" s="131" t="str">
        <f ca="1">IF(N7="", "-", OFFSET(N6, COUNT(N:N), 0, 1, 1) + I3)</f>
        <v>-</v>
      </c>
      <c r="J4" s="84"/>
      <c r="K4" s="85"/>
      <c r="L4" s="85"/>
      <c r="M4" s="89"/>
      <c r="N4" s="87"/>
      <c r="O4" s="88"/>
      <c r="P4" s="90" t="s">
        <v>12</v>
      </c>
      <c r="Q4" s="85"/>
      <c r="R4" s="85"/>
      <c r="S4" s="85"/>
      <c r="T4" s="85"/>
    </row>
    <row r="5" spans="1:24" x14ac:dyDescent="0.2">
      <c r="A5" s="68"/>
      <c r="B5" s="70" t="s">
        <v>13</v>
      </c>
      <c r="C5" s="70"/>
      <c r="D5" s="70"/>
      <c r="E5" s="70"/>
      <c r="F5" s="70"/>
      <c r="G5" s="70"/>
      <c r="H5" s="70"/>
      <c r="I5" s="70"/>
      <c r="J5" s="70" t="s">
        <v>14</v>
      </c>
      <c r="K5" s="70"/>
      <c r="L5" s="70"/>
      <c r="M5" s="70"/>
      <c r="N5" s="71" t="s">
        <v>15</v>
      </c>
      <c r="O5" s="72"/>
      <c r="P5" s="91" t="s">
        <v>16</v>
      </c>
      <c r="Q5" s="70"/>
      <c r="R5" s="70"/>
      <c r="S5" s="70"/>
      <c r="T5" s="70"/>
      <c r="U5" s="122" t="s">
        <v>17</v>
      </c>
      <c r="V5" s="122" t="s">
        <v>18</v>
      </c>
      <c r="W5" s="122" t="s">
        <v>19</v>
      </c>
    </row>
    <row r="6" spans="1:24" x14ac:dyDescent="0.2">
      <c r="A6" s="69" t="s">
        <v>17</v>
      </c>
      <c r="B6" s="73" t="s">
        <v>20</v>
      </c>
      <c r="C6" s="73" t="s">
        <v>21</v>
      </c>
      <c r="D6" s="73" t="s">
        <v>22</v>
      </c>
      <c r="E6" s="73" t="s">
        <v>23</v>
      </c>
      <c r="F6" s="73" t="s">
        <v>24</v>
      </c>
      <c r="G6" s="73" t="s">
        <v>25</v>
      </c>
      <c r="H6" s="73"/>
      <c r="I6" s="73"/>
      <c r="J6" s="73" t="s">
        <v>26</v>
      </c>
      <c r="K6" s="73" t="s">
        <v>27</v>
      </c>
      <c r="L6" s="73" t="s">
        <v>28</v>
      </c>
      <c r="M6" s="73" t="s">
        <v>29</v>
      </c>
      <c r="N6" s="74" t="s">
        <v>30</v>
      </c>
      <c r="O6" s="75" t="s">
        <v>31</v>
      </c>
      <c r="P6" s="113"/>
      <c r="Q6" s="113"/>
      <c r="R6" s="113"/>
      <c r="S6" s="113"/>
      <c r="T6" s="113"/>
    </row>
    <row r="7" spans="1:24" x14ac:dyDescent="0.2">
      <c r="A7" s="2">
        <f>B3</f>
        <v>44865</v>
      </c>
      <c r="B7" s="3"/>
      <c r="C7" s="3"/>
      <c r="D7" s="3" t="str">
        <f t="shared" ref="D7:D36" si="0">IF(C7="","",0.5/24)</f>
        <v/>
      </c>
      <c r="E7" s="4">
        <f t="shared" ref="E7:E36" si="1">IF(C7="",0,C7-B7-D7)</f>
        <v>0</v>
      </c>
      <c r="F7" s="5">
        <f t="shared" ref="F7:F36" si="2">IF(E7="","",VALUE(E7)*24)</f>
        <v>0</v>
      </c>
      <c r="G7" s="156"/>
      <c r="H7" s="157"/>
      <c r="I7" s="158"/>
      <c r="J7" s="3"/>
      <c r="K7" s="3"/>
      <c r="L7" s="6"/>
      <c r="M7" s="7">
        <f t="shared" ref="M7:M36" si="3">IF(OR(G7="Semester",G7="Sjuk",G7="Vård av barn"),8/24*$B$4,IF(L7="+",K7-J7,IF(L7="-",(K7-J7)*-1,0)))</f>
        <v>0</v>
      </c>
      <c r="N7" s="42" t="str">
        <f t="shared" ref="N7:N36" ca="1" si="4">IF(Dagen&gt;A7,W7-V7,"")</f>
        <v/>
      </c>
      <c r="O7" s="43"/>
      <c r="P7" s="56"/>
      <c r="Q7" s="56"/>
      <c r="R7" s="56"/>
      <c r="S7" s="56"/>
      <c r="T7" s="56"/>
      <c r="U7" s="125">
        <f t="shared" ref="U7:U36" si="5">IF(A7="",0,WEEKDAY(A7,3))</f>
        <v>6</v>
      </c>
      <c r="V7" s="122">
        <f t="shared" ref="V7:V36" si="6">IF(U7&gt;4,V6,V6+$B$4*8)</f>
        <v>0</v>
      </c>
      <c r="W7" s="124">
        <f t="shared" ref="W7:W36" si="7">VALUE(E7)*24+VALUE(M7)*24+W6</f>
        <v>0</v>
      </c>
    </row>
    <row r="8" spans="1:24" x14ac:dyDescent="0.2">
      <c r="A8" s="8">
        <f t="shared" ref="A8:A36" si="8">A7+1</f>
        <v>44866</v>
      </c>
      <c r="B8" s="9"/>
      <c r="C8" s="9"/>
      <c r="D8" s="3" t="str">
        <f t="shared" si="0"/>
        <v/>
      </c>
      <c r="E8" s="4">
        <f t="shared" si="1"/>
        <v>0</v>
      </c>
      <c r="F8" s="5">
        <f t="shared" si="2"/>
        <v>0</v>
      </c>
      <c r="G8" s="146"/>
      <c r="H8" s="147"/>
      <c r="I8" s="148"/>
      <c r="J8" s="9"/>
      <c r="K8" s="9"/>
      <c r="L8" s="10"/>
      <c r="M8" s="7">
        <f t="shared" si="3"/>
        <v>0</v>
      </c>
      <c r="N8" s="44" t="str">
        <f t="shared" ca="1" si="4"/>
        <v/>
      </c>
      <c r="O8" s="45"/>
      <c r="P8" s="56"/>
      <c r="Q8" s="56"/>
      <c r="R8" s="56"/>
      <c r="S8" s="56"/>
      <c r="T8" s="56"/>
      <c r="U8" s="122">
        <f t="shared" si="5"/>
        <v>0</v>
      </c>
      <c r="V8" s="122">
        <f t="shared" si="6"/>
        <v>8</v>
      </c>
      <c r="W8" s="124">
        <f t="shared" si="7"/>
        <v>0</v>
      </c>
      <c r="X8" s="121"/>
    </row>
    <row r="9" spans="1:24" x14ac:dyDescent="0.2">
      <c r="A9" s="8">
        <f t="shared" si="8"/>
        <v>44867</v>
      </c>
      <c r="B9" s="9"/>
      <c r="C9" s="9"/>
      <c r="D9" s="3" t="str">
        <f t="shared" si="0"/>
        <v/>
      </c>
      <c r="E9" s="4">
        <f t="shared" si="1"/>
        <v>0</v>
      </c>
      <c r="F9" s="5">
        <f t="shared" si="2"/>
        <v>0</v>
      </c>
      <c r="G9" s="146"/>
      <c r="H9" s="147"/>
      <c r="I9" s="148"/>
      <c r="J9" s="9"/>
      <c r="K9" s="9"/>
      <c r="L9" s="10"/>
      <c r="M9" s="7">
        <f t="shared" si="3"/>
        <v>0</v>
      </c>
      <c r="N9" s="44" t="str">
        <f t="shared" ca="1" si="4"/>
        <v/>
      </c>
      <c r="O9" s="45"/>
      <c r="P9" s="56"/>
      <c r="Q9" s="56"/>
      <c r="R9" s="56"/>
      <c r="S9" s="56"/>
      <c r="T9" s="56"/>
      <c r="U9" s="122">
        <f t="shared" si="5"/>
        <v>1</v>
      </c>
      <c r="V9" s="122">
        <f t="shared" si="6"/>
        <v>16</v>
      </c>
      <c r="W9" s="124">
        <f t="shared" si="7"/>
        <v>0</v>
      </c>
      <c r="X9" s="121"/>
    </row>
    <row r="10" spans="1:24" x14ac:dyDescent="0.2">
      <c r="A10" s="8">
        <f t="shared" si="8"/>
        <v>44868</v>
      </c>
      <c r="B10" s="9"/>
      <c r="C10" s="9"/>
      <c r="D10" s="3" t="str">
        <f t="shared" si="0"/>
        <v/>
      </c>
      <c r="E10" s="4">
        <f t="shared" si="1"/>
        <v>0</v>
      </c>
      <c r="F10" s="5">
        <f t="shared" si="2"/>
        <v>0</v>
      </c>
      <c r="G10" s="167"/>
      <c r="H10" s="168"/>
      <c r="I10" s="169"/>
      <c r="J10" s="34"/>
      <c r="K10" s="34"/>
      <c r="L10" s="35"/>
      <c r="M10" s="7">
        <f t="shared" si="3"/>
        <v>0</v>
      </c>
      <c r="N10" s="44" t="str">
        <f t="shared" ca="1" si="4"/>
        <v/>
      </c>
      <c r="O10" s="45"/>
      <c r="P10" s="56"/>
      <c r="Q10" s="56"/>
      <c r="R10" s="56"/>
      <c r="S10" s="56"/>
      <c r="T10" s="56"/>
      <c r="U10" s="122">
        <f t="shared" si="5"/>
        <v>2</v>
      </c>
      <c r="V10" s="122">
        <f t="shared" si="6"/>
        <v>24</v>
      </c>
      <c r="W10" s="124">
        <f t="shared" si="7"/>
        <v>0</v>
      </c>
      <c r="X10" s="121"/>
    </row>
    <row r="11" spans="1:24" x14ac:dyDescent="0.2">
      <c r="A11" s="8">
        <f t="shared" si="8"/>
        <v>44869</v>
      </c>
      <c r="B11" s="9"/>
      <c r="C11" s="9"/>
      <c r="D11" s="3" t="str">
        <f t="shared" si="0"/>
        <v/>
      </c>
      <c r="E11" s="4">
        <f t="shared" si="1"/>
        <v>0</v>
      </c>
      <c r="F11" s="5">
        <f t="shared" si="2"/>
        <v>0</v>
      </c>
      <c r="G11" s="146"/>
      <c r="H11" s="147"/>
      <c r="I11" s="148"/>
      <c r="J11" s="9"/>
      <c r="K11" s="9"/>
      <c r="L11" s="10"/>
      <c r="M11" s="7">
        <f t="shared" si="3"/>
        <v>0</v>
      </c>
      <c r="N11" s="44" t="str">
        <f t="shared" ca="1" si="4"/>
        <v/>
      </c>
      <c r="O11" s="45"/>
      <c r="P11" s="56"/>
      <c r="Q11" s="56"/>
      <c r="R11" s="56"/>
      <c r="S11" s="56"/>
      <c r="T11" s="56"/>
      <c r="U11" s="122">
        <f t="shared" si="5"/>
        <v>3</v>
      </c>
      <c r="V11" s="125">
        <f t="shared" si="6"/>
        <v>32</v>
      </c>
      <c r="W11" s="124">
        <f t="shared" si="7"/>
        <v>0</v>
      </c>
      <c r="X11" s="121"/>
    </row>
    <row r="12" spans="1:24" x14ac:dyDescent="0.2">
      <c r="A12" s="8">
        <f t="shared" si="8"/>
        <v>44870</v>
      </c>
      <c r="B12" s="9"/>
      <c r="C12" s="9"/>
      <c r="D12" s="3" t="str">
        <f t="shared" si="0"/>
        <v/>
      </c>
      <c r="E12" s="4">
        <f t="shared" si="1"/>
        <v>0</v>
      </c>
      <c r="F12" s="5">
        <f t="shared" si="2"/>
        <v>0</v>
      </c>
      <c r="G12" s="156"/>
      <c r="H12" s="157"/>
      <c r="I12" s="158"/>
      <c r="J12" s="3"/>
      <c r="K12" s="3"/>
      <c r="L12" s="6"/>
      <c r="M12" s="7">
        <f t="shared" si="3"/>
        <v>0</v>
      </c>
      <c r="N12" s="44" t="str">
        <f t="shared" ca="1" si="4"/>
        <v/>
      </c>
      <c r="O12" s="45"/>
      <c r="P12" s="56"/>
      <c r="Q12" s="56"/>
      <c r="R12" s="56"/>
      <c r="S12" s="56"/>
      <c r="T12" s="56"/>
      <c r="U12" s="125">
        <f t="shared" si="5"/>
        <v>4</v>
      </c>
      <c r="V12" s="122">
        <f t="shared" si="6"/>
        <v>40</v>
      </c>
      <c r="W12" s="124">
        <f t="shared" si="7"/>
        <v>0</v>
      </c>
      <c r="X12" s="121"/>
    </row>
    <row r="13" spans="1:24" x14ac:dyDescent="0.2">
      <c r="A13" s="8">
        <f t="shared" si="8"/>
        <v>44871</v>
      </c>
      <c r="B13" s="9"/>
      <c r="C13" s="9"/>
      <c r="D13" s="3" t="str">
        <f t="shared" si="0"/>
        <v/>
      </c>
      <c r="E13" s="4">
        <f t="shared" si="1"/>
        <v>0</v>
      </c>
      <c r="F13" s="5">
        <f t="shared" si="2"/>
        <v>0</v>
      </c>
      <c r="G13" s="146"/>
      <c r="H13" s="147"/>
      <c r="I13" s="148"/>
      <c r="J13" s="9"/>
      <c r="K13" s="9"/>
      <c r="L13" s="10"/>
      <c r="M13" s="7">
        <f t="shared" si="3"/>
        <v>0</v>
      </c>
      <c r="N13" s="44" t="str">
        <f t="shared" ca="1" si="4"/>
        <v/>
      </c>
      <c r="O13" s="45"/>
      <c r="P13" s="56"/>
      <c r="Q13" s="56"/>
      <c r="R13" s="56"/>
      <c r="S13" s="56"/>
      <c r="T13" s="56"/>
      <c r="U13" s="122">
        <f t="shared" si="5"/>
        <v>5</v>
      </c>
      <c r="V13" s="122">
        <f t="shared" si="6"/>
        <v>40</v>
      </c>
      <c r="W13" s="124">
        <f t="shared" si="7"/>
        <v>0</v>
      </c>
      <c r="X13" s="121"/>
    </row>
    <row r="14" spans="1:24" x14ac:dyDescent="0.2">
      <c r="A14" s="8">
        <f t="shared" si="8"/>
        <v>44872</v>
      </c>
      <c r="B14" s="9"/>
      <c r="C14" s="9"/>
      <c r="D14" s="3" t="str">
        <f t="shared" si="0"/>
        <v/>
      </c>
      <c r="E14" s="4">
        <f t="shared" si="1"/>
        <v>0</v>
      </c>
      <c r="F14" s="5">
        <f t="shared" si="2"/>
        <v>0</v>
      </c>
      <c r="G14" s="146"/>
      <c r="H14" s="147"/>
      <c r="I14" s="148"/>
      <c r="J14" s="9"/>
      <c r="K14" s="9"/>
      <c r="L14" s="10"/>
      <c r="M14" s="7">
        <f t="shared" si="3"/>
        <v>0</v>
      </c>
      <c r="N14" s="44" t="str">
        <f t="shared" ca="1" si="4"/>
        <v/>
      </c>
      <c r="O14" s="45"/>
      <c r="P14" s="56"/>
      <c r="Q14" s="56"/>
      <c r="R14" s="56"/>
      <c r="S14" s="56"/>
      <c r="T14" s="56"/>
      <c r="U14" s="122">
        <f t="shared" si="5"/>
        <v>6</v>
      </c>
      <c r="V14" s="122">
        <f t="shared" si="6"/>
        <v>40</v>
      </c>
      <c r="W14" s="124">
        <f t="shared" si="7"/>
        <v>0</v>
      </c>
      <c r="X14" s="121"/>
    </row>
    <row r="15" spans="1:24" x14ac:dyDescent="0.2">
      <c r="A15" s="8">
        <f t="shared" si="8"/>
        <v>44873</v>
      </c>
      <c r="B15" s="9"/>
      <c r="C15" s="9"/>
      <c r="D15" s="3" t="str">
        <f t="shared" si="0"/>
        <v/>
      </c>
      <c r="E15" s="4">
        <f t="shared" si="1"/>
        <v>0</v>
      </c>
      <c r="F15" s="5">
        <f t="shared" si="2"/>
        <v>0</v>
      </c>
      <c r="G15" s="146"/>
      <c r="H15" s="147"/>
      <c r="I15" s="148"/>
      <c r="J15" s="9"/>
      <c r="K15" s="9"/>
      <c r="L15" s="10"/>
      <c r="M15" s="7">
        <f t="shared" si="3"/>
        <v>0</v>
      </c>
      <c r="N15" s="44" t="str">
        <f t="shared" ca="1" si="4"/>
        <v/>
      </c>
      <c r="O15" s="45"/>
      <c r="P15" s="56"/>
      <c r="Q15" s="56"/>
      <c r="R15" s="56"/>
      <c r="S15" s="56"/>
      <c r="T15" s="56"/>
      <c r="U15" s="122">
        <f t="shared" si="5"/>
        <v>0</v>
      </c>
      <c r="V15" s="122">
        <f t="shared" si="6"/>
        <v>48</v>
      </c>
      <c r="W15" s="124">
        <f t="shared" si="7"/>
        <v>0</v>
      </c>
    </row>
    <row r="16" spans="1:24" x14ac:dyDescent="0.2">
      <c r="A16" s="8">
        <f t="shared" si="8"/>
        <v>44874</v>
      </c>
      <c r="B16" s="9"/>
      <c r="C16" s="9"/>
      <c r="D16" s="3" t="str">
        <f t="shared" si="0"/>
        <v/>
      </c>
      <c r="E16" s="4">
        <f t="shared" si="1"/>
        <v>0</v>
      </c>
      <c r="F16" s="5">
        <f t="shared" si="2"/>
        <v>0</v>
      </c>
      <c r="G16" s="146"/>
      <c r="H16" s="147"/>
      <c r="I16" s="148"/>
      <c r="J16" s="9"/>
      <c r="K16" s="9"/>
      <c r="L16" s="10"/>
      <c r="M16" s="7">
        <f t="shared" si="3"/>
        <v>0</v>
      </c>
      <c r="N16" s="44" t="str">
        <f t="shared" ca="1" si="4"/>
        <v/>
      </c>
      <c r="O16" s="45"/>
      <c r="P16" s="56"/>
      <c r="Q16" s="56"/>
      <c r="R16" s="56"/>
      <c r="S16" s="56"/>
      <c r="T16" s="56"/>
      <c r="U16" s="122">
        <f t="shared" si="5"/>
        <v>1</v>
      </c>
      <c r="V16" s="122">
        <f t="shared" si="6"/>
        <v>56</v>
      </c>
      <c r="W16" s="124">
        <f t="shared" si="7"/>
        <v>0</v>
      </c>
    </row>
    <row r="17" spans="1:23" x14ac:dyDescent="0.2">
      <c r="A17" s="8">
        <f t="shared" si="8"/>
        <v>44875</v>
      </c>
      <c r="B17" s="9"/>
      <c r="C17" s="9"/>
      <c r="D17" s="3" t="str">
        <f t="shared" si="0"/>
        <v/>
      </c>
      <c r="E17" s="4">
        <f t="shared" si="1"/>
        <v>0</v>
      </c>
      <c r="F17" s="5">
        <f t="shared" si="2"/>
        <v>0</v>
      </c>
      <c r="G17" s="146"/>
      <c r="H17" s="147"/>
      <c r="I17" s="148"/>
      <c r="J17" s="9"/>
      <c r="K17" s="9"/>
      <c r="L17" s="10"/>
      <c r="M17" s="7">
        <f t="shared" si="3"/>
        <v>0</v>
      </c>
      <c r="N17" s="44" t="str">
        <f t="shared" ca="1" si="4"/>
        <v/>
      </c>
      <c r="O17" s="45"/>
      <c r="P17" s="56"/>
      <c r="Q17" s="56"/>
      <c r="R17" s="56"/>
      <c r="S17" s="56"/>
      <c r="T17" s="56"/>
      <c r="U17" s="122">
        <f t="shared" si="5"/>
        <v>2</v>
      </c>
      <c r="V17" s="122">
        <f t="shared" si="6"/>
        <v>64</v>
      </c>
      <c r="W17" s="124">
        <f t="shared" si="7"/>
        <v>0</v>
      </c>
    </row>
    <row r="18" spans="1:23" x14ac:dyDescent="0.2">
      <c r="A18" s="8">
        <f t="shared" si="8"/>
        <v>44876</v>
      </c>
      <c r="B18" s="9"/>
      <c r="C18" s="9"/>
      <c r="D18" s="3" t="str">
        <f t="shared" si="0"/>
        <v/>
      </c>
      <c r="E18" s="4">
        <f t="shared" si="1"/>
        <v>0</v>
      </c>
      <c r="F18" s="5">
        <f t="shared" si="2"/>
        <v>0</v>
      </c>
      <c r="G18" s="146"/>
      <c r="H18" s="147"/>
      <c r="I18" s="148"/>
      <c r="J18" s="9"/>
      <c r="K18" s="9"/>
      <c r="L18" s="10"/>
      <c r="M18" s="7">
        <f t="shared" si="3"/>
        <v>0</v>
      </c>
      <c r="N18" s="44" t="str">
        <f t="shared" ca="1" si="4"/>
        <v/>
      </c>
      <c r="O18" s="45"/>
      <c r="P18" s="56"/>
      <c r="Q18" s="56"/>
      <c r="R18" s="56"/>
      <c r="S18" s="56"/>
      <c r="T18" s="56"/>
      <c r="U18" s="122">
        <f t="shared" si="5"/>
        <v>3</v>
      </c>
      <c r="V18" s="122">
        <f t="shared" si="6"/>
        <v>72</v>
      </c>
      <c r="W18" s="124">
        <f t="shared" si="7"/>
        <v>0</v>
      </c>
    </row>
    <row r="19" spans="1:23" x14ac:dyDescent="0.2">
      <c r="A19" s="8">
        <f t="shared" si="8"/>
        <v>44877</v>
      </c>
      <c r="B19" s="9"/>
      <c r="C19" s="9"/>
      <c r="D19" s="3" t="str">
        <f t="shared" si="0"/>
        <v/>
      </c>
      <c r="E19" s="4">
        <f t="shared" si="1"/>
        <v>0</v>
      </c>
      <c r="F19" s="5">
        <f t="shared" si="2"/>
        <v>0</v>
      </c>
      <c r="G19" s="146"/>
      <c r="H19" s="147"/>
      <c r="I19" s="148"/>
      <c r="J19" s="9"/>
      <c r="K19" s="9"/>
      <c r="L19" s="10"/>
      <c r="M19" s="7">
        <f t="shared" si="3"/>
        <v>0</v>
      </c>
      <c r="N19" s="44" t="str">
        <f t="shared" ca="1" si="4"/>
        <v/>
      </c>
      <c r="O19" s="45"/>
      <c r="P19" s="56"/>
      <c r="Q19" s="56"/>
      <c r="R19" s="56"/>
      <c r="S19" s="56"/>
      <c r="T19" s="56"/>
      <c r="U19" s="122">
        <f t="shared" si="5"/>
        <v>4</v>
      </c>
      <c r="V19" s="122">
        <f t="shared" si="6"/>
        <v>80</v>
      </c>
      <c r="W19" s="124">
        <f t="shared" si="7"/>
        <v>0</v>
      </c>
    </row>
    <row r="20" spans="1:23" x14ac:dyDescent="0.2">
      <c r="A20" s="8">
        <f t="shared" si="8"/>
        <v>44878</v>
      </c>
      <c r="B20" s="9"/>
      <c r="C20" s="144"/>
      <c r="D20" s="3" t="str">
        <f t="shared" si="0"/>
        <v/>
      </c>
      <c r="E20" s="4">
        <f t="shared" si="1"/>
        <v>0</v>
      </c>
      <c r="F20" s="5">
        <f t="shared" si="2"/>
        <v>0</v>
      </c>
      <c r="G20" s="146"/>
      <c r="H20" s="147"/>
      <c r="I20" s="148"/>
      <c r="J20" s="9"/>
      <c r="K20" s="9"/>
      <c r="L20" s="10"/>
      <c r="M20" s="7">
        <f t="shared" si="3"/>
        <v>0</v>
      </c>
      <c r="N20" s="44" t="str">
        <f t="shared" ca="1" si="4"/>
        <v/>
      </c>
      <c r="O20" s="45"/>
      <c r="P20" s="56"/>
      <c r="Q20" s="56"/>
      <c r="R20" s="56"/>
      <c r="S20" s="56"/>
      <c r="T20" s="56"/>
      <c r="U20" s="122">
        <f t="shared" si="5"/>
        <v>5</v>
      </c>
      <c r="V20" s="122">
        <f t="shared" si="6"/>
        <v>80</v>
      </c>
      <c r="W20" s="124">
        <f t="shared" si="7"/>
        <v>0</v>
      </c>
    </row>
    <row r="21" spans="1:23" x14ac:dyDescent="0.2">
      <c r="A21" s="8">
        <f t="shared" si="8"/>
        <v>44879</v>
      </c>
      <c r="B21" s="9"/>
      <c r="C21" s="9"/>
      <c r="D21" s="3" t="str">
        <f t="shared" si="0"/>
        <v/>
      </c>
      <c r="E21" s="4">
        <f t="shared" si="1"/>
        <v>0</v>
      </c>
      <c r="F21" s="5">
        <f t="shared" si="2"/>
        <v>0</v>
      </c>
      <c r="G21" s="146"/>
      <c r="H21" s="147"/>
      <c r="I21" s="148"/>
      <c r="J21" s="9"/>
      <c r="K21" s="9"/>
      <c r="L21" s="10"/>
      <c r="M21" s="7">
        <f t="shared" si="3"/>
        <v>0</v>
      </c>
      <c r="N21" s="44" t="str">
        <f t="shared" ca="1" si="4"/>
        <v/>
      </c>
      <c r="O21" s="45"/>
      <c r="P21" s="56"/>
      <c r="Q21" s="56"/>
      <c r="R21" s="56"/>
      <c r="S21" s="56"/>
      <c r="T21" s="56"/>
      <c r="U21" s="122">
        <f t="shared" si="5"/>
        <v>6</v>
      </c>
      <c r="V21" s="122">
        <f t="shared" si="6"/>
        <v>80</v>
      </c>
      <c r="W21" s="124">
        <f t="shared" si="7"/>
        <v>0</v>
      </c>
    </row>
    <row r="22" spans="1:23" x14ac:dyDescent="0.2">
      <c r="A22" s="8">
        <f t="shared" si="8"/>
        <v>44880</v>
      </c>
      <c r="B22" s="9"/>
      <c r="C22" s="144"/>
      <c r="D22" s="3" t="str">
        <f t="shared" si="0"/>
        <v/>
      </c>
      <c r="E22" s="4">
        <f t="shared" si="1"/>
        <v>0</v>
      </c>
      <c r="F22" s="5">
        <f t="shared" si="2"/>
        <v>0</v>
      </c>
      <c r="G22" s="146"/>
      <c r="H22" s="147"/>
      <c r="I22" s="148"/>
      <c r="J22" s="9"/>
      <c r="K22" s="9"/>
      <c r="L22" s="10"/>
      <c r="M22" s="7">
        <f t="shared" si="3"/>
        <v>0</v>
      </c>
      <c r="N22" s="44" t="str">
        <f t="shared" ca="1" si="4"/>
        <v/>
      </c>
      <c r="O22" s="45"/>
      <c r="P22" s="56"/>
      <c r="Q22" s="56"/>
      <c r="R22" s="56"/>
      <c r="S22" s="56"/>
      <c r="T22" s="56"/>
      <c r="U22" s="122">
        <f t="shared" si="5"/>
        <v>0</v>
      </c>
      <c r="V22" s="122">
        <f t="shared" si="6"/>
        <v>88</v>
      </c>
      <c r="W22" s="124">
        <f t="shared" si="7"/>
        <v>0</v>
      </c>
    </row>
    <row r="23" spans="1:23" x14ac:dyDescent="0.2">
      <c r="A23" s="8">
        <f t="shared" si="8"/>
        <v>44881</v>
      </c>
      <c r="B23" s="9"/>
      <c r="C23" s="9"/>
      <c r="D23" s="3" t="str">
        <f t="shared" si="0"/>
        <v/>
      </c>
      <c r="E23" s="4">
        <f t="shared" si="1"/>
        <v>0</v>
      </c>
      <c r="F23" s="5">
        <f t="shared" si="2"/>
        <v>0</v>
      </c>
      <c r="G23" s="146"/>
      <c r="H23" s="147"/>
      <c r="I23" s="148"/>
      <c r="J23" s="9"/>
      <c r="K23" s="9"/>
      <c r="L23" s="10"/>
      <c r="M23" s="7">
        <f t="shared" si="3"/>
        <v>0</v>
      </c>
      <c r="N23" s="44" t="str">
        <f t="shared" ca="1" si="4"/>
        <v/>
      </c>
      <c r="O23" s="45"/>
      <c r="P23" s="56"/>
      <c r="Q23" s="56"/>
      <c r="R23" s="56"/>
      <c r="S23" s="56"/>
      <c r="T23" s="56"/>
      <c r="U23" s="122">
        <f t="shared" si="5"/>
        <v>1</v>
      </c>
      <c r="V23" s="122">
        <f t="shared" si="6"/>
        <v>96</v>
      </c>
      <c r="W23" s="124">
        <f t="shared" si="7"/>
        <v>0</v>
      </c>
    </row>
    <row r="24" spans="1:23" x14ac:dyDescent="0.2">
      <c r="A24" s="8">
        <f t="shared" si="8"/>
        <v>44882</v>
      </c>
      <c r="B24" s="9"/>
      <c r="C24" s="9"/>
      <c r="D24" s="3" t="str">
        <f t="shared" si="0"/>
        <v/>
      </c>
      <c r="E24" s="4">
        <f t="shared" si="1"/>
        <v>0</v>
      </c>
      <c r="F24" s="5">
        <f t="shared" si="2"/>
        <v>0</v>
      </c>
      <c r="G24" s="146"/>
      <c r="H24" s="147"/>
      <c r="I24" s="148"/>
      <c r="J24" s="9"/>
      <c r="K24" s="9"/>
      <c r="L24" s="10"/>
      <c r="M24" s="7">
        <f t="shared" si="3"/>
        <v>0</v>
      </c>
      <c r="N24" s="44" t="str">
        <f t="shared" ca="1" si="4"/>
        <v/>
      </c>
      <c r="O24" s="45"/>
      <c r="P24" s="56"/>
      <c r="Q24" s="56"/>
      <c r="R24" s="56"/>
      <c r="S24" s="56"/>
      <c r="T24" s="56"/>
      <c r="U24" s="122">
        <f t="shared" si="5"/>
        <v>2</v>
      </c>
      <c r="V24" s="122">
        <f t="shared" si="6"/>
        <v>104</v>
      </c>
      <c r="W24" s="124">
        <f t="shared" si="7"/>
        <v>0</v>
      </c>
    </row>
    <row r="25" spans="1:23" x14ac:dyDescent="0.2">
      <c r="A25" s="8">
        <f t="shared" si="8"/>
        <v>44883</v>
      </c>
      <c r="B25" s="9"/>
      <c r="C25" s="9"/>
      <c r="D25" s="3" t="str">
        <f t="shared" si="0"/>
        <v/>
      </c>
      <c r="E25" s="4">
        <f t="shared" si="1"/>
        <v>0</v>
      </c>
      <c r="F25" s="5">
        <f t="shared" si="2"/>
        <v>0</v>
      </c>
      <c r="G25" s="146"/>
      <c r="H25" s="147"/>
      <c r="I25" s="148"/>
      <c r="J25" s="9"/>
      <c r="K25" s="9"/>
      <c r="L25" s="10"/>
      <c r="M25" s="7">
        <f t="shared" si="3"/>
        <v>0</v>
      </c>
      <c r="N25" s="44" t="str">
        <f t="shared" ca="1" si="4"/>
        <v/>
      </c>
      <c r="O25" s="45"/>
      <c r="P25" s="56"/>
      <c r="Q25" s="56"/>
      <c r="R25" s="56"/>
      <c r="S25" s="56"/>
      <c r="T25" s="56"/>
      <c r="U25" s="122">
        <f t="shared" si="5"/>
        <v>3</v>
      </c>
      <c r="V25" s="122">
        <f t="shared" si="6"/>
        <v>112</v>
      </c>
      <c r="W25" s="124">
        <f t="shared" si="7"/>
        <v>0</v>
      </c>
    </row>
    <row r="26" spans="1:23" x14ac:dyDescent="0.2">
      <c r="A26" s="8">
        <f t="shared" si="8"/>
        <v>44884</v>
      </c>
      <c r="B26" s="9"/>
      <c r="C26" s="9"/>
      <c r="D26" s="3" t="str">
        <f t="shared" si="0"/>
        <v/>
      </c>
      <c r="E26" s="4">
        <f t="shared" si="1"/>
        <v>0</v>
      </c>
      <c r="F26" s="5">
        <f t="shared" si="2"/>
        <v>0</v>
      </c>
      <c r="G26" s="146"/>
      <c r="H26" s="147"/>
      <c r="I26" s="148"/>
      <c r="J26" s="9"/>
      <c r="K26" s="9"/>
      <c r="L26" s="10"/>
      <c r="M26" s="7">
        <f t="shared" si="3"/>
        <v>0</v>
      </c>
      <c r="N26" s="44" t="str">
        <f t="shared" ca="1" si="4"/>
        <v/>
      </c>
      <c r="O26" s="45"/>
      <c r="P26" s="56"/>
      <c r="Q26" s="56"/>
      <c r="R26" s="56"/>
      <c r="S26" s="56"/>
      <c r="T26" s="56"/>
      <c r="U26" s="122">
        <f t="shared" si="5"/>
        <v>4</v>
      </c>
      <c r="V26" s="122">
        <f t="shared" si="6"/>
        <v>120</v>
      </c>
      <c r="W26" s="124">
        <f t="shared" si="7"/>
        <v>0</v>
      </c>
    </row>
    <row r="27" spans="1:23" x14ac:dyDescent="0.2">
      <c r="A27" s="8">
        <f t="shared" si="8"/>
        <v>44885</v>
      </c>
      <c r="B27" s="9"/>
      <c r="C27" s="9"/>
      <c r="D27" s="3" t="str">
        <f t="shared" si="0"/>
        <v/>
      </c>
      <c r="E27" s="4">
        <f t="shared" si="1"/>
        <v>0</v>
      </c>
      <c r="F27" s="5">
        <f t="shared" si="2"/>
        <v>0</v>
      </c>
      <c r="G27" s="146"/>
      <c r="H27" s="147"/>
      <c r="I27" s="148"/>
      <c r="J27" s="9"/>
      <c r="K27" s="9"/>
      <c r="L27" s="10"/>
      <c r="M27" s="7">
        <f t="shared" si="3"/>
        <v>0</v>
      </c>
      <c r="N27" s="44" t="str">
        <f t="shared" ca="1" si="4"/>
        <v/>
      </c>
      <c r="O27" s="45"/>
      <c r="P27" s="56"/>
      <c r="Q27" s="56"/>
      <c r="R27" s="56"/>
      <c r="S27" s="56"/>
      <c r="T27" s="56"/>
      <c r="U27" s="122">
        <f t="shared" si="5"/>
        <v>5</v>
      </c>
      <c r="V27" s="122">
        <f t="shared" si="6"/>
        <v>120</v>
      </c>
      <c r="W27" s="124">
        <f t="shared" si="7"/>
        <v>0</v>
      </c>
    </row>
    <row r="28" spans="1:23" x14ac:dyDescent="0.2">
      <c r="A28" s="8">
        <f t="shared" si="8"/>
        <v>44886</v>
      </c>
      <c r="B28" s="9"/>
      <c r="C28" s="9"/>
      <c r="D28" s="3" t="str">
        <f t="shared" si="0"/>
        <v/>
      </c>
      <c r="E28" s="4">
        <f t="shared" si="1"/>
        <v>0</v>
      </c>
      <c r="F28" s="5">
        <f t="shared" si="2"/>
        <v>0</v>
      </c>
      <c r="G28" s="146"/>
      <c r="H28" s="147"/>
      <c r="I28" s="148"/>
      <c r="J28" s="9"/>
      <c r="K28" s="9"/>
      <c r="L28" s="10"/>
      <c r="M28" s="7">
        <f t="shared" si="3"/>
        <v>0</v>
      </c>
      <c r="N28" s="44" t="str">
        <f t="shared" ca="1" si="4"/>
        <v/>
      </c>
      <c r="O28" s="45"/>
      <c r="P28" s="56"/>
      <c r="Q28" s="56"/>
      <c r="R28" s="56"/>
      <c r="S28" s="56"/>
      <c r="T28" s="56"/>
      <c r="U28" s="122">
        <f t="shared" si="5"/>
        <v>6</v>
      </c>
      <c r="V28" s="122">
        <f t="shared" si="6"/>
        <v>120</v>
      </c>
      <c r="W28" s="124">
        <f t="shared" si="7"/>
        <v>0</v>
      </c>
    </row>
    <row r="29" spans="1:23" x14ac:dyDescent="0.2">
      <c r="A29" s="8">
        <f t="shared" si="8"/>
        <v>44887</v>
      </c>
      <c r="B29" s="9"/>
      <c r="C29" s="9"/>
      <c r="D29" s="3" t="str">
        <f t="shared" si="0"/>
        <v/>
      </c>
      <c r="E29" s="4">
        <f t="shared" si="1"/>
        <v>0</v>
      </c>
      <c r="F29" s="5">
        <f t="shared" si="2"/>
        <v>0</v>
      </c>
      <c r="G29" s="146"/>
      <c r="H29" s="147"/>
      <c r="I29" s="148"/>
      <c r="J29" s="9"/>
      <c r="K29" s="9"/>
      <c r="L29" s="10"/>
      <c r="M29" s="7">
        <f t="shared" si="3"/>
        <v>0</v>
      </c>
      <c r="N29" s="44" t="str">
        <f t="shared" ca="1" si="4"/>
        <v/>
      </c>
      <c r="O29" s="45"/>
      <c r="P29" s="56"/>
      <c r="Q29" s="56"/>
      <c r="R29" s="56"/>
      <c r="S29" s="56"/>
      <c r="T29" s="56"/>
      <c r="U29" s="122">
        <f t="shared" si="5"/>
        <v>0</v>
      </c>
      <c r="V29" s="122">
        <f t="shared" si="6"/>
        <v>128</v>
      </c>
      <c r="W29" s="124">
        <f t="shared" si="7"/>
        <v>0</v>
      </c>
    </row>
    <row r="30" spans="1:23" x14ac:dyDescent="0.2">
      <c r="A30" s="8">
        <f t="shared" si="8"/>
        <v>44888</v>
      </c>
      <c r="B30" s="9"/>
      <c r="C30" s="9"/>
      <c r="D30" s="3" t="str">
        <f t="shared" si="0"/>
        <v/>
      </c>
      <c r="E30" s="4">
        <f t="shared" si="1"/>
        <v>0</v>
      </c>
      <c r="F30" s="5">
        <f t="shared" si="2"/>
        <v>0</v>
      </c>
      <c r="G30" s="146"/>
      <c r="H30" s="147"/>
      <c r="I30" s="148"/>
      <c r="J30" s="9"/>
      <c r="K30" s="9"/>
      <c r="L30" s="10"/>
      <c r="M30" s="7">
        <f t="shared" si="3"/>
        <v>0</v>
      </c>
      <c r="N30" s="44" t="str">
        <f t="shared" ca="1" si="4"/>
        <v/>
      </c>
      <c r="O30" s="45"/>
      <c r="P30" s="56"/>
      <c r="Q30" s="56"/>
      <c r="R30" s="56"/>
      <c r="S30" s="56"/>
      <c r="T30" s="56"/>
      <c r="U30" s="122">
        <f t="shared" si="5"/>
        <v>1</v>
      </c>
      <c r="V30" s="122">
        <f t="shared" si="6"/>
        <v>136</v>
      </c>
      <c r="W30" s="124">
        <f t="shared" si="7"/>
        <v>0</v>
      </c>
    </row>
    <row r="31" spans="1:23" x14ac:dyDescent="0.2">
      <c r="A31" s="8">
        <f t="shared" si="8"/>
        <v>44889</v>
      </c>
      <c r="B31" s="9"/>
      <c r="C31" s="9"/>
      <c r="D31" s="3" t="str">
        <f t="shared" si="0"/>
        <v/>
      </c>
      <c r="E31" s="4">
        <f t="shared" si="1"/>
        <v>0</v>
      </c>
      <c r="F31" s="5">
        <f t="shared" si="2"/>
        <v>0</v>
      </c>
      <c r="G31" s="146"/>
      <c r="H31" s="147"/>
      <c r="I31" s="148"/>
      <c r="J31" s="9"/>
      <c r="K31" s="9"/>
      <c r="L31" s="10"/>
      <c r="M31" s="7">
        <f t="shared" si="3"/>
        <v>0</v>
      </c>
      <c r="N31" s="44" t="str">
        <f t="shared" ca="1" si="4"/>
        <v/>
      </c>
      <c r="O31" s="45"/>
      <c r="P31" s="56"/>
      <c r="Q31" s="56"/>
      <c r="R31" s="56"/>
      <c r="S31" s="56"/>
      <c r="T31" s="56"/>
      <c r="U31" s="122">
        <f t="shared" si="5"/>
        <v>2</v>
      </c>
      <c r="V31" s="122">
        <f t="shared" si="6"/>
        <v>144</v>
      </c>
      <c r="W31" s="124">
        <f t="shared" si="7"/>
        <v>0</v>
      </c>
    </row>
    <row r="32" spans="1:23" x14ac:dyDescent="0.2">
      <c r="A32" s="8">
        <f t="shared" si="8"/>
        <v>44890</v>
      </c>
      <c r="B32" s="9"/>
      <c r="C32" s="9"/>
      <c r="D32" s="3" t="str">
        <f t="shared" si="0"/>
        <v/>
      </c>
      <c r="E32" s="4">
        <f t="shared" si="1"/>
        <v>0</v>
      </c>
      <c r="F32" s="5">
        <f t="shared" si="2"/>
        <v>0</v>
      </c>
      <c r="G32" s="146"/>
      <c r="H32" s="147"/>
      <c r="I32" s="148"/>
      <c r="J32" s="9"/>
      <c r="K32" s="9"/>
      <c r="L32" s="10"/>
      <c r="M32" s="7">
        <f t="shared" si="3"/>
        <v>0</v>
      </c>
      <c r="N32" s="44" t="str">
        <f t="shared" ca="1" si="4"/>
        <v/>
      </c>
      <c r="O32" s="45"/>
      <c r="P32" s="56"/>
      <c r="Q32" s="56"/>
      <c r="R32" s="56"/>
      <c r="S32" s="56"/>
      <c r="T32" s="56"/>
      <c r="U32" s="122">
        <f t="shared" si="5"/>
        <v>3</v>
      </c>
      <c r="V32" s="122">
        <f t="shared" si="6"/>
        <v>152</v>
      </c>
      <c r="W32" s="124">
        <f t="shared" si="7"/>
        <v>0</v>
      </c>
    </row>
    <row r="33" spans="1:23" x14ac:dyDescent="0.2">
      <c r="A33" s="8">
        <f t="shared" si="8"/>
        <v>44891</v>
      </c>
      <c r="B33" s="9"/>
      <c r="C33" s="9"/>
      <c r="D33" s="3" t="str">
        <f t="shared" si="0"/>
        <v/>
      </c>
      <c r="E33" s="4">
        <f t="shared" si="1"/>
        <v>0</v>
      </c>
      <c r="F33" s="5">
        <f t="shared" si="2"/>
        <v>0</v>
      </c>
      <c r="G33" s="146"/>
      <c r="H33" s="147"/>
      <c r="I33" s="148"/>
      <c r="J33" s="9"/>
      <c r="K33" s="9"/>
      <c r="L33" s="10"/>
      <c r="M33" s="7">
        <f t="shared" si="3"/>
        <v>0</v>
      </c>
      <c r="N33" s="44" t="str">
        <f t="shared" ca="1" si="4"/>
        <v/>
      </c>
      <c r="O33" s="45"/>
      <c r="P33" s="56"/>
      <c r="Q33" s="56"/>
      <c r="R33" s="56"/>
      <c r="S33" s="56"/>
      <c r="T33" s="56"/>
      <c r="U33" s="122">
        <f t="shared" si="5"/>
        <v>4</v>
      </c>
      <c r="V33" s="122">
        <f t="shared" si="6"/>
        <v>160</v>
      </c>
      <c r="W33" s="124">
        <f t="shared" si="7"/>
        <v>0</v>
      </c>
    </row>
    <row r="34" spans="1:23" x14ac:dyDescent="0.2">
      <c r="A34" s="8">
        <f t="shared" si="8"/>
        <v>44892</v>
      </c>
      <c r="B34" s="9"/>
      <c r="C34" s="9"/>
      <c r="D34" s="3" t="str">
        <f t="shared" si="0"/>
        <v/>
      </c>
      <c r="E34" s="4">
        <f t="shared" si="1"/>
        <v>0</v>
      </c>
      <c r="F34" s="5">
        <f t="shared" si="2"/>
        <v>0</v>
      </c>
      <c r="G34" s="146"/>
      <c r="H34" s="147"/>
      <c r="I34" s="148"/>
      <c r="J34" s="9"/>
      <c r="K34" s="9"/>
      <c r="L34" s="10"/>
      <c r="M34" s="7">
        <f t="shared" si="3"/>
        <v>0</v>
      </c>
      <c r="N34" s="44" t="str">
        <f t="shared" ca="1" si="4"/>
        <v/>
      </c>
      <c r="O34" s="45"/>
      <c r="P34" s="56"/>
      <c r="Q34" s="56"/>
      <c r="R34" s="56"/>
      <c r="S34" s="56"/>
      <c r="T34" s="56"/>
      <c r="U34" s="122">
        <f t="shared" si="5"/>
        <v>5</v>
      </c>
      <c r="V34" s="122">
        <f t="shared" si="6"/>
        <v>160</v>
      </c>
      <c r="W34" s="124">
        <f t="shared" si="7"/>
        <v>0</v>
      </c>
    </row>
    <row r="35" spans="1:23" x14ac:dyDescent="0.2">
      <c r="A35" s="8">
        <f t="shared" si="8"/>
        <v>44893</v>
      </c>
      <c r="B35" s="9"/>
      <c r="C35" s="9"/>
      <c r="D35" s="3" t="str">
        <f t="shared" si="0"/>
        <v/>
      </c>
      <c r="E35" s="4">
        <f t="shared" si="1"/>
        <v>0</v>
      </c>
      <c r="F35" s="5">
        <f t="shared" si="2"/>
        <v>0</v>
      </c>
      <c r="G35" s="146"/>
      <c r="H35" s="147"/>
      <c r="I35" s="148"/>
      <c r="J35" s="9"/>
      <c r="K35" s="9"/>
      <c r="L35" s="10"/>
      <c r="M35" s="7">
        <f t="shared" si="3"/>
        <v>0</v>
      </c>
      <c r="N35" s="44" t="str">
        <f t="shared" ca="1" si="4"/>
        <v/>
      </c>
      <c r="O35" s="45"/>
      <c r="P35" s="56"/>
      <c r="Q35" s="56"/>
      <c r="R35" s="56"/>
      <c r="S35" s="56"/>
      <c r="T35" s="56"/>
      <c r="U35" s="122">
        <f t="shared" si="5"/>
        <v>6</v>
      </c>
      <c r="V35" s="122">
        <f t="shared" si="6"/>
        <v>160</v>
      </c>
      <c r="W35" s="124">
        <f t="shared" si="7"/>
        <v>0</v>
      </c>
    </row>
    <row r="36" spans="1:23" x14ac:dyDescent="0.2">
      <c r="A36" s="8">
        <f t="shared" si="8"/>
        <v>44894</v>
      </c>
      <c r="B36" s="9"/>
      <c r="C36" s="9"/>
      <c r="D36" s="3" t="str">
        <f t="shared" si="0"/>
        <v/>
      </c>
      <c r="E36" s="4">
        <f t="shared" si="1"/>
        <v>0</v>
      </c>
      <c r="F36" s="5">
        <f t="shared" si="2"/>
        <v>0</v>
      </c>
      <c r="G36" s="146"/>
      <c r="H36" s="147"/>
      <c r="I36" s="148"/>
      <c r="J36" s="9"/>
      <c r="K36" s="9"/>
      <c r="L36" s="10"/>
      <c r="M36" s="7">
        <f t="shared" si="3"/>
        <v>0</v>
      </c>
      <c r="N36" s="44" t="str">
        <f t="shared" ca="1" si="4"/>
        <v/>
      </c>
      <c r="O36" s="45"/>
      <c r="P36" s="56"/>
      <c r="Q36" s="56"/>
      <c r="R36" s="56"/>
      <c r="S36" s="56"/>
      <c r="T36" s="56"/>
      <c r="U36" s="122">
        <f t="shared" si="5"/>
        <v>0</v>
      </c>
      <c r="V36" s="122">
        <f t="shared" si="6"/>
        <v>168</v>
      </c>
      <c r="W36" s="124">
        <f t="shared" si="7"/>
        <v>0</v>
      </c>
    </row>
    <row r="37" spans="1:23" x14ac:dyDescent="0.2">
      <c r="A37" s="8"/>
      <c r="B37" s="9"/>
      <c r="C37" s="9"/>
      <c r="D37" s="3"/>
      <c r="E37" s="4"/>
      <c r="F37" s="5"/>
      <c r="G37" s="146"/>
      <c r="H37" s="147"/>
      <c r="I37" s="148"/>
      <c r="J37" s="9"/>
      <c r="K37" s="9"/>
      <c r="L37" s="10"/>
      <c r="M37" s="7"/>
      <c r="N37" s="44"/>
      <c r="O37" s="45"/>
      <c r="P37" s="56"/>
      <c r="Q37" s="56"/>
      <c r="R37" s="56"/>
      <c r="S37" s="56"/>
      <c r="T37" s="56"/>
      <c r="W37" s="124"/>
    </row>
    <row r="38" spans="1:23" x14ac:dyDescent="0.2">
      <c r="A38" s="12"/>
      <c r="G38" s="54"/>
      <c r="H38" s="54"/>
      <c r="I38" s="54"/>
      <c r="J38" s="55"/>
      <c r="K38" s="55"/>
      <c r="L38" s="54"/>
      <c r="P38" s="57">
        <f>SUM(P7:P37)</f>
        <v>0</v>
      </c>
      <c r="Q38" s="57">
        <f>SUM(Q7:Q37)</f>
        <v>0</v>
      </c>
      <c r="R38" s="57">
        <f>SUM(R7:R37)</f>
        <v>0</v>
      </c>
      <c r="S38" s="57">
        <f>SUM(S7:S37)</f>
        <v>0</v>
      </c>
      <c r="T38" s="57">
        <f>SUM(T7:T37)</f>
        <v>0</v>
      </c>
    </row>
    <row r="40" spans="1:23" x14ac:dyDescent="0.2">
      <c r="A40" s="13" t="str">
        <f>Blankettinfo</f>
        <v>Version 4.6 © LiU 2025-12-03</v>
      </c>
    </row>
  </sheetData>
  <mergeCells count="35">
    <mergeCell ref="G36:I36"/>
    <mergeCell ref="G27:I27"/>
    <mergeCell ref="G23:I23"/>
    <mergeCell ref="G8:I8"/>
    <mergeCell ref="G17:I17"/>
    <mergeCell ref="G37:I37"/>
    <mergeCell ref="G18:I18"/>
    <mergeCell ref="G34:I34"/>
    <mergeCell ref="G30:I30"/>
    <mergeCell ref="G15:I15"/>
    <mergeCell ref="G33:I33"/>
    <mergeCell ref="G24:I24"/>
    <mergeCell ref="G35:I35"/>
    <mergeCell ref="G20:I20"/>
    <mergeCell ref="G26:I26"/>
    <mergeCell ref="G29:I29"/>
    <mergeCell ref="G25:I25"/>
    <mergeCell ref="G16:I16"/>
    <mergeCell ref="G32:I32"/>
    <mergeCell ref="G22:I22"/>
    <mergeCell ref="G31:I31"/>
    <mergeCell ref="G10:I10"/>
    <mergeCell ref="G28:I28"/>
    <mergeCell ref="G19:I19"/>
    <mergeCell ref="G13:I13"/>
    <mergeCell ref="B1:D1"/>
    <mergeCell ref="G14:I14"/>
    <mergeCell ref="G9:I9"/>
    <mergeCell ref="G12:I12"/>
    <mergeCell ref="G21:I21"/>
    <mergeCell ref="G11:I11"/>
    <mergeCell ref="B3:D3"/>
    <mergeCell ref="G7:I7"/>
    <mergeCell ref="B4:C4"/>
    <mergeCell ref="B2:D2"/>
  </mergeCells>
  <conditionalFormatting sqref="A7:M37">
    <cfRule type="expression" dxfId="5" priority="1" stopIfTrue="1">
      <formula>$U7&gt;4</formula>
    </cfRule>
  </conditionalFormatting>
  <conditionalFormatting sqref="N7:N37">
    <cfRule type="cellIs" dxfId="4" priority="2" stopIfTrue="1" operator="greaterThanOrEqual">
      <formula>0</formula>
    </cfRule>
    <cfRule type="cellIs" dxfId="3" priority="3" stopIfTrue="1" operator="lessThan">
      <formula>0</formula>
    </cfRule>
  </conditionalFormatting>
  <dataValidations count="3">
    <dataValidation type="list" allowBlank="1" showInputMessage="1" showErrorMessage="1" sqref="L7:L37" xr:uid="{00000000-0002-0000-0D00-000000000000}">
      <formula1>"+,-"</formula1>
    </dataValidation>
    <dataValidation type="time" allowBlank="1" showInputMessage="1" showErrorMessage="1" errorTitle="Fel tidsformat" error="Ange tid som timmar och minuter med kolon som skiljetecken - till exempel 9:30 för klockan halv tio på förmiddagen." sqref="B7:C37 J7:K37" xr:uid="{00000000-0002-0000-0D00-000001000000}">
      <formula1>0</formula1>
      <formula2>0.999988425925926</formula2>
    </dataValidation>
    <dataValidation type="time" allowBlank="1" showInputMessage="1" showErrorMessage="1" errorTitle="Fel tidsformat" error="Lunchen måste vara minst 30 minuter - tiden anges med timmar och minuter, till exempel 0:45 för trekvarts timmes lunch." promptTitle="Lunchrast" prompt="Lunchen anges som 30 minuter när &quot;Slutar&quot;-tiden fyllts i. Ändra manuellt om lunchen är längre än 30 minuter." sqref="D7:D37" xr:uid="{00000000-0002-0000-0D00-000002000000}">
      <formula1>0.0208217592592593</formula1>
      <formula2>0.333333333333333</formula2>
    </dataValidation>
  </dataValidations>
  <pageMargins left="0.74803149606299213" right="0.74803149606299213" top="0.98425196850393704" bottom="0.98425196850393704" header="0.51181102362204722" footer="0.51181102362204722"/>
  <pageSetup paperSize="9" scale="64" orientation="landscape"/>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Blad7">
    <pageSetUpPr fitToPage="1"/>
  </sheetPr>
  <dimension ref="A1:Y40"/>
  <sheetViews>
    <sheetView workbookViewId="0"/>
  </sheetViews>
  <sheetFormatPr baseColWidth="10" defaultColWidth="9.140625" defaultRowHeight="15" x14ac:dyDescent="0.2"/>
  <cols>
    <col min="1" max="1" width="8.7109375" style="13" customWidth="1"/>
    <col min="2" max="5" width="10.7109375" style="13" customWidth="1"/>
    <col min="6" max="9" width="10.7109375" style="1" customWidth="1"/>
    <col min="10" max="11" width="8.7109375" style="11" customWidth="1"/>
    <col min="12" max="13" width="8.7109375" style="1" customWidth="1"/>
    <col min="14" max="14" width="7.7109375" style="14" customWidth="1"/>
    <col min="15" max="15" width="33.7109375" style="1" customWidth="1"/>
    <col min="16" max="20" width="10.7109375" style="1" customWidth="1"/>
    <col min="21" max="23" width="9.140625" style="122" hidden="1" customWidth="1"/>
    <col min="24" max="25" width="9.140625" style="120" customWidth="1"/>
    <col min="26" max="26" width="9.140625" style="1" customWidth="1"/>
    <col min="27" max="16384" width="9.140625" style="1"/>
  </cols>
  <sheetData>
    <row r="1" spans="1:24" x14ac:dyDescent="0.2">
      <c r="A1" s="66" t="s">
        <v>0</v>
      </c>
      <c r="B1" s="151" t="str">
        <f>Namn</f>
        <v>Håkan Stensby</v>
      </c>
      <c r="C1" s="152"/>
      <c r="D1" s="152"/>
      <c r="E1" s="47" t="s">
        <v>1</v>
      </c>
      <c r="F1" s="115">
        <f>SUM(F7:F37)</f>
        <v>0</v>
      </c>
      <c r="G1" s="51"/>
      <c r="H1" s="47" t="s">
        <v>2</v>
      </c>
      <c r="I1" s="76">
        <f>VLOOKUP(B3,översikt!A61:C72,3,FALSE)*B4</f>
        <v>160</v>
      </c>
      <c r="J1" s="77"/>
      <c r="K1" s="78"/>
      <c r="L1" s="79"/>
      <c r="M1" s="80"/>
      <c r="N1" s="80"/>
      <c r="O1" s="81"/>
      <c r="P1" s="85"/>
      <c r="Q1" s="85"/>
      <c r="R1" s="85"/>
      <c r="S1" s="85"/>
      <c r="T1" s="85"/>
    </row>
    <row r="2" spans="1:24" x14ac:dyDescent="0.2">
      <c r="A2" s="67" t="s">
        <v>3</v>
      </c>
      <c r="B2" s="161" t="str">
        <f>Pnr</f>
        <v>19770217-6418</v>
      </c>
      <c r="C2" s="154"/>
      <c r="D2" s="154"/>
      <c r="E2" s="53" t="s">
        <v>4</v>
      </c>
      <c r="F2" s="116">
        <f>VALUE(SUM(M7:M37)*24)</f>
        <v>0</v>
      </c>
      <c r="G2" s="48"/>
      <c r="H2" s="53" t="s">
        <v>5</v>
      </c>
      <c r="I2" s="82">
        <f>IF(F3=0,0,F3-I1)</f>
        <v>0</v>
      </c>
      <c r="J2" s="83"/>
      <c r="K2" s="84"/>
      <c r="L2" s="85"/>
      <c r="M2" s="86"/>
      <c r="N2" s="87"/>
      <c r="O2" s="88"/>
      <c r="P2" s="85"/>
      <c r="Q2" s="85"/>
      <c r="R2" s="85"/>
      <c r="S2" s="85"/>
      <c r="T2" s="85"/>
    </row>
    <row r="3" spans="1:24" x14ac:dyDescent="0.2">
      <c r="A3" s="67" t="s">
        <v>6</v>
      </c>
      <c r="B3" s="155">
        <f>översikt!A72</f>
        <v>44895</v>
      </c>
      <c r="C3" s="154"/>
      <c r="D3" s="154"/>
      <c r="E3" s="53" t="s">
        <v>7</v>
      </c>
      <c r="F3" s="116">
        <f>F1+F2</f>
        <v>0</v>
      </c>
      <c r="G3" s="49"/>
      <c r="H3" s="53" t="s">
        <v>8</v>
      </c>
      <c r="I3" s="82" t="str">
        <f ca="1">november!I4</f>
        <v>-</v>
      </c>
      <c r="J3" s="84"/>
      <c r="K3" s="85"/>
      <c r="L3" s="85"/>
      <c r="M3" s="89"/>
      <c r="N3" s="87"/>
      <c r="O3" s="88"/>
      <c r="P3" s="85"/>
      <c r="Q3" s="85"/>
      <c r="R3" s="85"/>
      <c r="S3" s="85"/>
      <c r="T3" s="85"/>
      <c r="W3" s="123"/>
    </row>
    <row r="4" spans="1:24" x14ac:dyDescent="0.2">
      <c r="A4" s="67" t="s">
        <v>9</v>
      </c>
      <c r="B4" s="159">
        <f>Tjgrad</f>
        <v>1</v>
      </c>
      <c r="C4" s="160"/>
      <c r="D4" s="52"/>
      <c r="E4" s="53" t="s">
        <v>10</v>
      </c>
      <c r="F4" s="50"/>
      <c r="G4" s="49"/>
      <c r="H4" s="53" t="s">
        <v>11</v>
      </c>
      <c r="I4" s="131" t="str">
        <f ca="1">IF(N7="", "-", OFFSET(N6, COUNT(N:N), 0, 1, 1) + I3)</f>
        <v>-</v>
      </c>
      <c r="J4" s="84"/>
      <c r="K4" s="85"/>
      <c r="L4" s="85"/>
      <c r="M4" s="89"/>
      <c r="N4" s="87"/>
      <c r="O4" s="88"/>
      <c r="P4" s="90" t="s">
        <v>12</v>
      </c>
      <c r="Q4" s="85"/>
      <c r="R4" s="85"/>
      <c r="S4" s="85"/>
      <c r="T4" s="85"/>
    </row>
    <row r="5" spans="1:24" x14ac:dyDescent="0.2">
      <c r="A5" s="68"/>
      <c r="B5" s="70" t="s">
        <v>13</v>
      </c>
      <c r="C5" s="70"/>
      <c r="D5" s="70"/>
      <c r="E5" s="70"/>
      <c r="F5" s="70"/>
      <c r="G5" s="70"/>
      <c r="H5" s="70"/>
      <c r="I5" s="70"/>
      <c r="J5" s="70" t="s">
        <v>14</v>
      </c>
      <c r="K5" s="70"/>
      <c r="L5" s="70"/>
      <c r="M5" s="70"/>
      <c r="N5" s="71" t="s">
        <v>15</v>
      </c>
      <c r="O5" s="72"/>
      <c r="P5" s="91" t="s">
        <v>16</v>
      </c>
      <c r="Q5" s="70"/>
      <c r="R5" s="70"/>
      <c r="S5" s="70"/>
      <c r="T5" s="70"/>
      <c r="U5" s="122" t="s">
        <v>17</v>
      </c>
      <c r="V5" s="122" t="s">
        <v>18</v>
      </c>
      <c r="W5" s="122" t="s">
        <v>19</v>
      </c>
    </row>
    <row r="6" spans="1:24" x14ac:dyDescent="0.2">
      <c r="A6" s="69" t="s">
        <v>17</v>
      </c>
      <c r="B6" s="73" t="s">
        <v>20</v>
      </c>
      <c r="C6" s="73" t="s">
        <v>21</v>
      </c>
      <c r="D6" s="73" t="s">
        <v>22</v>
      </c>
      <c r="E6" s="73" t="s">
        <v>23</v>
      </c>
      <c r="F6" s="73" t="s">
        <v>24</v>
      </c>
      <c r="G6" s="73" t="s">
        <v>25</v>
      </c>
      <c r="H6" s="73"/>
      <c r="I6" s="73"/>
      <c r="J6" s="73" t="s">
        <v>26</v>
      </c>
      <c r="K6" s="73" t="s">
        <v>27</v>
      </c>
      <c r="L6" s="73" t="s">
        <v>28</v>
      </c>
      <c r="M6" s="73" t="s">
        <v>29</v>
      </c>
      <c r="N6" s="74" t="s">
        <v>30</v>
      </c>
      <c r="O6" s="75" t="s">
        <v>31</v>
      </c>
      <c r="P6" s="113"/>
      <c r="Q6" s="113"/>
      <c r="R6" s="113"/>
      <c r="S6" s="113"/>
      <c r="T6" s="113"/>
    </row>
    <row r="7" spans="1:24" x14ac:dyDescent="0.2">
      <c r="A7" s="2">
        <f>B3</f>
        <v>44895</v>
      </c>
      <c r="B7" s="3"/>
      <c r="C7" s="3"/>
      <c r="D7" s="3" t="str">
        <f t="shared" ref="D7:D37" si="0">IF(C7="","",0.5/24)</f>
        <v/>
      </c>
      <c r="E7" s="4">
        <f t="shared" ref="E7:E37" si="1">IF(C7="",0,C7-B7-D7)</f>
        <v>0</v>
      </c>
      <c r="F7" s="5">
        <f t="shared" ref="F7:F37" si="2">IF(E7="","",VALUE(E7)*24)</f>
        <v>0</v>
      </c>
      <c r="G7" s="156"/>
      <c r="H7" s="157"/>
      <c r="I7" s="158"/>
      <c r="J7" s="3"/>
      <c r="K7" s="3"/>
      <c r="L7" s="6"/>
      <c r="M7" s="7">
        <f t="shared" ref="M7:M37" si="3">IF(OR(G7="Semester",G7="Sjuk",G7="Vård av barn"),8/24*$B$4,IF(L7="+",K7-J7,IF(L7="-",(K7-J7)*-1,0)))</f>
        <v>0</v>
      </c>
      <c r="N7" s="42" t="str">
        <f t="shared" ref="N7:N37" ca="1" si="4">IF(Dagen&gt;A7,W7-V7,"")</f>
        <v/>
      </c>
      <c r="O7" s="43"/>
      <c r="P7" s="56"/>
      <c r="Q7" s="56"/>
      <c r="R7" s="56"/>
      <c r="S7" s="56"/>
      <c r="T7" s="56"/>
      <c r="U7" s="125">
        <f t="shared" ref="U7:U29" si="5">IF(A7="",0,WEEKDAY(A7,3))</f>
        <v>1</v>
      </c>
      <c r="V7" s="122">
        <f t="shared" ref="V7:V37" si="6">IF(U7&gt;4,V6,V6+$B$4*8)</f>
        <v>8</v>
      </c>
      <c r="W7" s="124">
        <f t="shared" ref="W7:W37" si="7">VALUE(E7)*24+VALUE(M7)*24+W6</f>
        <v>0</v>
      </c>
    </row>
    <row r="8" spans="1:24" x14ac:dyDescent="0.2">
      <c r="A8" s="8">
        <f t="shared" ref="A8:A37" si="8">A7+1</f>
        <v>44896</v>
      </c>
      <c r="B8" s="9"/>
      <c r="C8" s="9"/>
      <c r="D8" s="3" t="str">
        <f t="shared" si="0"/>
        <v/>
      </c>
      <c r="E8" s="4">
        <f t="shared" si="1"/>
        <v>0</v>
      </c>
      <c r="F8" s="5">
        <f t="shared" si="2"/>
        <v>0</v>
      </c>
      <c r="G8" s="146"/>
      <c r="H8" s="147"/>
      <c r="I8" s="148"/>
      <c r="J8" s="9"/>
      <c r="K8" s="9"/>
      <c r="L8" s="10"/>
      <c r="M8" s="7">
        <f t="shared" si="3"/>
        <v>0</v>
      </c>
      <c r="N8" s="44" t="str">
        <f t="shared" ca="1" si="4"/>
        <v/>
      </c>
      <c r="O8" s="45"/>
      <c r="P8" s="56"/>
      <c r="Q8" s="56"/>
      <c r="R8" s="56"/>
      <c r="S8" s="56"/>
      <c r="T8" s="56"/>
      <c r="U8" s="122">
        <f t="shared" si="5"/>
        <v>2</v>
      </c>
      <c r="V8" s="122">
        <f t="shared" si="6"/>
        <v>16</v>
      </c>
      <c r="W8" s="124">
        <f t="shared" si="7"/>
        <v>0</v>
      </c>
      <c r="X8" s="121"/>
    </row>
    <row r="9" spans="1:24" x14ac:dyDescent="0.2">
      <c r="A9" s="8">
        <f t="shared" si="8"/>
        <v>44897</v>
      </c>
      <c r="B9" s="9"/>
      <c r="C9" s="9"/>
      <c r="D9" s="3" t="str">
        <f t="shared" si="0"/>
        <v/>
      </c>
      <c r="E9" s="4">
        <f t="shared" si="1"/>
        <v>0</v>
      </c>
      <c r="F9" s="5">
        <f t="shared" si="2"/>
        <v>0</v>
      </c>
      <c r="G9" s="146"/>
      <c r="H9" s="147"/>
      <c r="I9" s="148"/>
      <c r="J9" s="9"/>
      <c r="K9" s="9"/>
      <c r="L9" s="10"/>
      <c r="M9" s="7">
        <f t="shared" si="3"/>
        <v>0</v>
      </c>
      <c r="N9" s="44" t="str">
        <f t="shared" ca="1" si="4"/>
        <v/>
      </c>
      <c r="O9" s="45"/>
      <c r="P9" s="56"/>
      <c r="Q9" s="56"/>
      <c r="R9" s="56"/>
      <c r="S9" s="56"/>
      <c r="T9" s="56"/>
      <c r="U9" s="122">
        <f t="shared" si="5"/>
        <v>3</v>
      </c>
      <c r="V9" s="122">
        <f t="shared" si="6"/>
        <v>24</v>
      </c>
      <c r="W9" s="124">
        <f t="shared" si="7"/>
        <v>0</v>
      </c>
      <c r="X9" s="121"/>
    </row>
    <row r="10" spans="1:24" x14ac:dyDescent="0.2">
      <c r="A10" s="8">
        <f t="shared" si="8"/>
        <v>44898</v>
      </c>
      <c r="B10" s="9"/>
      <c r="C10" s="9"/>
      <c r="D10" s="3" t="str">
        <f t="shared" si="0"/>
        <v/>
      </c>
      <c r="E10" s="4">
        <f t="shared" si="1"/>
        <v>0</v>
      </c>
      <c r="F10" s="5">
        <f t="shared" si="2"/>
        <v>0</v>
      </c>
      <c r="G10" s="167"/>
      <c r="H10" s="168"/>
      <c r="I10" s="169"/>
      <c r="J10" s="34"/>
      <c r="K10" s="34"/>
      <c r="L10" s="35"/>
      <c r="M10" s="7">
        <f t="shared" si="3"/>
        <v>0</v>
      </c>
      <c r="N10" s="44" t="str">
        <f t="shared" ca="1" si="4"/>
        <v/>
      </c>
      <c r="O10" s="45"/>
      <c r="P10" s="56"/>
      <c r="Q10" s="56"/>
      <c r="R10" s="56"/>
      <c r="S10" s="56"/>
      <c r="T10" s="56"/>
      <c r="U10" s="122">
        <f t="shared" si="5"/>
        <v>4</v>
      </c>
      <c r="V10" s="122">
        <f t="shared" si="6"/>
        <v>32</v>
      </c>
      <c r="W10" s="124">
        <f t="shared" si="7"/>
        <v>0</v>
      </c>
      <c r="X10" s="121"/>
    </row>
    <row r="11" spans="1:24" x14ac:dyDescent="0.2">
      <c r="A11" s="8">
        <f t="shared" si="8"/>
        <v>44899</v>
      </c>
      <c r="B11" s="9"/>
      <c r="C11" s="9"/>
      <c r="D11" s="3" t="str">
        <f t="shared" si="0"/>
        <v/>
      </c>
      <c r="E11" s="4">
        <f t="shared" si="1"/>
        <v>0</v>
      </c>
      <c r="F11" s="5">
        <f t="shared" si="2"/>
        <v>0</v>
      </c>
      <c r="G11" s="146"/>
      <c r="H11" s="147"/>
      <c r="I11" s="148"/>
      <c r="J11" s="9"/>
      <c r="K11" s="9"/>
      <c r="L11" s="10"/>
      <c r="M11" s="7">
        <f t="shared" si="3"/>
        <v>0</v>
      </c>
      <c r="N11" s="44" t="str">
        <f t="shared" ca="1" si="4"/>
        <v/>
      </c>
      <c r="O11" s="45"/>
      <c r="P11" s="56"/>
      <c r="Q11" s="56"/>
      <c r="R11" s="56"/>
      <c r="S11" s="56"/>
      <c r="T11" s="56"/>
      <c r="U11" s="122">
        <f t="shared" si="5"/>
        <v>5</v>
      </c>
      <c r="V11" s="125">
        <f t="shared" si="6"/>
        <v>32</v>
      </c>
      <c r="W11" s="124">
        <f t="shared" si="7"/>
        <v>0</v>
      </c>
      <c r="X11" s="121"/>
    </row>
    <row r="12" spans="1:24" x14ac:dyDescent="0.2">
      <c r="A12" s="8">
        <f t="shared" si="8"/>
        <v>44900</v>
      </c>
      <c r="B12" s="9"/>
      <c r="C12" s="9"/>
      <c r="D12" s="3" t="str">
        <f t="shared" si="0"/>
        <v/>
      </c>
      <c r="E12" s="4">
        <f t="shared" si="1"/>
        <v>0</v>
      </c>
      <c r="F12" s="5">
        <f t="shared" si="2"/>
        <v>0</v>
      </c>
      <c r="G12" s="156"/>
      <c r="H12" s="157"/>
      <c r="I12" s="158"/>
      <c r="J12" s="3"/>
      <c r="K12" s="3"/>
      <c r="L12" s="6"/>
      <c r="M12" s="7">
        <f t="shared" si="3"/>
        <v>0</v>
      </c>
      <c r="N12" s="44" t="str">
        <f t="shared" ca="1" si="4"/>
        <v/>
      </c>
      <c r="O12" s="45"/>
      <c r="P12" s="56"/>
      <c r="Q12" s="56"/>
      <c r="R12" s="56"/>
      <c r="S12" s="56"/>
      <c r="T12" s="56"/>
      <c r="U12" s="125">
        <f t="shared" si="5"/>
        <v>6</v>
      </c>
      <c r="V12" s="122">
        <f t="shared" si="6"/>
        <v>32</v>
      </c>
      <c r="W12" s="124">
        <f t="shared" si="7"/>
        <v>0</v>
      </c>
      <c r="X12" s="121"/>
    </row>
    <row r="13" spans="1:24" x14ac:dyDescent="0.2">
      <c r="A13" s="8">
        <f t="shared" si="8"/>
        <v>44901</v>
      </c>
      <c r="B13" s="9"/>
      <c r="C13" s="9"/>
      <c r="D13" s="3" t="str">
        <f t="shared" si="0"/>
        <v/>
      </c>
      <c r="E13" s="4">
        <f t="shared" si="1"/>
        <v>0</v>
      </c>
      <c r="F13" s="5">
        <f t="shared" si="2"/>
        <v>0</v>
      </c>
      <c r="G13" s="146"/>
      <c r="H13" s="147"/>
      <c r="I13" s="148"/>
      <c r="J13" s="9"/>
      <c r="K13" s="9"/>
      <c r="L13" s="10"/>
      <c r="M13" s="7">
        <f t="shared" si="3"/>
        <v>0</v>
      </c>
      <c r="N13" s="44" t="str">
        <f t="shared" ca="1" si="4"/>
        <v/>
      </c>
      <c r="O13" s="45"/>
      <c r="P13" s="56"/>
      <c r="Q13" s="56"/>
      <c r="R13" s="56"/>
      <c r="S13" s="56"/>
      <c r="T13" s="56"/>
      <c r="U13" s="122">
        <f t="shared" si="5"/>
        <v>0</v>
      </c>
      <c r="V13" s="122">
        <f t="shared" si="6"/>
        <v>40</v>
      </c>
      <c r="W13" s="124">
        <f t="shared" si="7"/>
        <v>0</v>
      </c>
      <c r="X13" s="121"/>
    </row>
    <row r="14" spans="1:24" x14ac:dyDescent="0.2">
      <c r="A14" s="8">
        <f t="shared" si="8"/>
        <v>44902</v>
      </c>
      <c r="B14" s="9"/>
      <c r="C14" s="9"/>
      <c r="D14" s="3" t="str">
        <f t="shared" si="0"/>
        <v/>
      </c>
      <c r="E14" s="4">
        <f t="shared" si="1"/>
        <v>0</v>
      </c>
      <c r="F14" s="5">
        <f t="shared" si="2"/>
        <v>0</v>
      </c>
      <c r="G14" s="146"/>
      <c r="H14" s="147"/>
      <c r="I14" s="148"/>
      <c r="J14" s="9"/>
      <c r="K14" s="9"/>
      <c r="L14" s="10"/>
      <c r="M14" s="7">
        <f t="shared" si="3"/>
        <v>0</v>
      </c>
      <c r="N14" s="44" t="str">
        <f t="shared" ca="1" si="4"/>
        <v/>
      </c>
      <c r="O14" s="45"/>
      <c r="P14" s="56"/>
      <c r="Q14" s="56"/>
      <c r="R14" s="56"/>
      <c r="S14" s="56"/>
      <c r="T14" s="56"/>
      <c r="U14" s="122">
        <f t="shared" si="5"/>
        <v>1</v>
      </c>
      <c r="V14" s="122">
        <f t="shared" si="6"/>
        <v>48</v>
      </c>
      <c r="W14" s="124">
        <f t="shared" si="7"/>
        <v>0</v>
      </c>
      <c r="X14" s="121"/>
    </row>
    <row r="15" spans="1:24" x14ac:dyDescent="0.2">
      <c r="A15" s="8">
        <f t="shared" si="8"/>
        <v>44903</v>
      </c>
      <c r="B15" s="9"/>
      <c r="C15" s="9"/>
      <c r="D15" s="3" t="str">
        <f t="shared" si="0"/>
        <v/>
      </c>
      <c r="E15" s="4">
        <f t="shared" si="1"/>
        <v>0</v>
      </c>
      <c r="F15" s="5">
        <f t="shared" si="2"/>
        <v>0</v>
      </c>
      <c r="G15" s="146"/>
      <c r="H15" s="147"/>
      <c r="I15" s="148"/>
      <c r="J15" s="9"/>
      <c r="K15" s="9"/>
      <c r="L15" s="10"/>
      <c r="M15" s="7">
        <f t="shared" si="3"/>
        <v>0</v>
      </c>
      <c r="N15" s="44" t="str">
        <f t="shared" ca="1" si="4"/>
        <v/>
      </c>
      <c r="O15" s="45"/>
      <c r="P15" s="56"/>
      <c r="Q15" s="56"/>
      <c r="R15" s="56"/>
      <c r="S15" s="56"/>
      <c r="T15" s="56"/>
      <c r="U15" s="122">
        <f t="shared" si="5"/>
        <v>2</v>
      </c>
      <c r="V15" s="122">
        <f t="shared" si="6"/>
        <v>56</v>
      </c>
      <c r="W15" s="124">
        <f t="shared" si="7"/>
        <v>0</v>
      </c>
    </row>
    <row r="16" spans="1:24" x14ac:dyDescent="0.2">
      <c r="A16" s="8">
        <f t="shared" si="8"/>
        <v>44904</v>
      </c>
      <c r="B16" s="9"/>
      <c r="C16" s="9"/>
      <c r="D16" s="3" t="str">
        <f t="shared" si="0"/>
        <v/>
      </c>
      <c r="E16" s="4">
        <f t="shared" si="1"/>
        <v>0</v>
      </c>
      <c r="F16" s="5">
        <f t="shared" si="2"/>
        <v>0</v>
      </c>
      <c r="G16" s="146"/>
      <c r="H16" s="147"/>
      <c r="I16" s="148"/>
      <c r="J16" s="9"/>
      <c r="K16" s="9"/>
      <c r="L16" s="10"/>
      <c r="M16" s="7">
        <f t="shared" si="3"/>
        <v>0</v>
      </c>
      <c r="N16" s="44" t="str">
        <f t="shared" ca="1" si="4"/>
        <v/>
      </c>
      <c r="O16" s="45"/>
      <c r="P16" s="56"/>
      <c r="Q16" s="56"/>
      <c r="R16" s="56"/>
      <c r="S16" s="56"/>
      <c r="T16" s="56"/>
      <c r="U16" s="122">
        <f t="shared" si="5"/>
        <v>3</v>
      </c>
      <c r="V16" s="122">
        <f t="shared" si="6"/>
        <v>64</v>
      </c>
      <c r="W16" s="124">
        <f t="shared" si="7"/>
        <v>0</v>
      </c>
    </row>
    <row r="17" spans="1:23" x14ac:dyDescent="0.2">
      <c r="A17" s="8">
        <f t="shared" si="8"/>
        <v>44905</v>
      </c>
      <c r="B17" s="9"/>
      <c r="C17" s="9"/>
      <c r="D17" s="3" t="str">
        <f t="shared" si="0"/>
        <v/>
      </c>
      <c r="E17" s="4">
        <f t="shared" si="1"/>
        <v>0</v>
      </c>
      <c r="F17" s="5">
        <f t="shared" si="2"/>
        <v>0</v>
      </c>
      <c r="G17" s="146"/>
      <c r="H17" s="147"/>
      <c r="I17" s="148"/>
      <c r="J17" s="9"/>
      <c r="K17" s="9"/>
      <c r="L17" s="10"/>
      <c r="M17" s="7">
        <f t="shared" si="3"/>
        <v>0</v>
      </c>
      <c r="N17" s="44" t="str">
        <f t="shared" ca="1" si="4"/>
        <v/>
      </c>
      <c r="O17" s="45"/>
      <c r="P17" s="56"/>
      <c r="Q17" s="56"/>
      <c r="R17" s="56"/>
      <c r="S17" s="56"/>
      <c r="T17" s="56"/>
      <c r="U17" s="122">
        <f t="shared" si="5"/>
        <v>4</v>
      </c>
      <c r="V17" s="122">
        <f t="shared" si="6"/>
        <v>72</v>
      </c>
      <c r="W17" s="124">
        <f t="shared" si="7"/>
        <v>0</v>
      </c>
    </row>
    <row r="18" spans="1:23" x14ac:dyDescent="0.2">
      <c r="A18" s="8">
        <f t="shared" si="8"/>
        <v>44906</v>
      </c>
      <c r="B18" s="9"/>
      <c r="C18" s="9"/>
      <c r="D18" s="3" t="str">
        <f t="shared" si="0"/>
        <v/>
      </c>
      <c r="E18" s="4">
        <f t="shared" si="1"/>
        <v>0</v>
      </c>
      <c r="F18" s="5">
        <f t="shared" si="2"/>
        <v>0</v>
      </c>
      <c r="G18" s="146"/>
      <c r="H18" s="147"/>
      <c r="I18" s="148"/>
      <c r="J18" s="9"/>
      <c r="K18" s="9"/>
      <c r="L18" s="10"/>
      <c r="M18" s="7">
        <f t="shared" si="3"/>
        <v>0</v>
      </c>
      <c r="N18" s="44" t="str">
        <f t="shared" ca="1" si="4"/>
        <v/>
      </c>
      <c r="O18" s="45"/>
      <c r="P18" s="56"/>
      <c r="Q18" s="56"/>
      <c r="R18" s="56"/>
      <c r="S18" s="56"/>
      <c r="T18" s="56"/>
      <c r="U18" s="122">
        <f t="shared" si="5"/>
        <v>5</v>
      </c>
      <c r="V18" s="122">
        <f t="shared" si="6"/>
        <v>72</v>
      </c>
      <c r="W18" s="124">
        <f t="shared" si="7"/>
        <v>0</v>
      </c>
    </row>
    <row r="19" spans="1:23" x14ac:dyDescent="0.2">
      <c r="A19" s="8">
        <f t="shared" si="8"/>
        <v>44907</v>
      </c>
      <c r="B19" s="9"/>
      <c r="C19" s="9"/>
      <c r="D19" s="3" t="str">
        <f t="shared" si="0"/>
        <v/>
      </c>
      <c r="E19" s="4">
        <f t="shared" si="1"/>
        <v>0</v>
      </c>
      <c r="F19" s="5">
        <f t="shared" si="2"/>
        <v>0</v>
      </c>
      <c r="G19" s="146"/>
      <c r="H19" s="147"/>
      <c r="I19" s="148"/>
      <c r="J19" s="9"/>
      <c r="K19" s="9"/>
      <c r="L19" s="10"/>
      <c r="M19" s="7">
        <f t="shared" si="3"/>
        <v>0</v>
      </c>
      <c r="N19" s="44" t="str">
        <f t="shared" ca="1" si="4"/>
        <v/>
      </c>
      <c r="O19" s="45"/>
      <c r="P19" s="56"/>
      <c r="Q19" s="56"/>
      <c r="R19" s="56"/>
      <c r="S19" s="56"/>
      <c r="T19" s="56"/>
      <c r="U19" s="122">
        <f t="shared" si="5"/>
        <v>6</v>
      </c>
      <c r="V19" s="122">
        <f t="shared" si="6"/>
        <v>72</v>
      </c>
      <c r="W19" s="124">
        <f t="shared" si="7"/>
        <v>0</v>
      </c>
    </row>
    <row r="20" spans="1:23" x14ac:dyDescent="0.2">
      <c r="A20" s="8">
        <f t="shared" si="8"/>
        <v>44908</v>
      </c>
      <c r="B20" s="9"/>
      <c r="C20" s="144"/>
      <c r="D20" s="3" t="str">
        <f t="shared" si="0"/>
        <v/>
      </c>
      <c r="E20" s="4">
        <f t="shared" si="1"/>
        <v>0</v>
      </c>
      <c r="F20" s="5">
        <f t="shared" si="2"/>
        <v>0</v>
      </c>
      <c r="G20" s="146"/>
      <c r="H20" s="147"/>
      <c r="I20" s="148"/>
      <c r="J20" s="9"/>
      <c r="K20" s="9"/>
      <c r="L20" s="10"/>
      <c r="M20" s="7">
        <f t="shared" si="3"/>
        <v>0</v>
      </c>
      <c r="N20" s="44" t="str">
        <f t="shared" ca="1" si="4"/>
        <v/>
      </c>
      <c r="O20" s="45"/>
      <c r="P20" s="56"/>
      <c r="Q20" s="56"/>
      <c r="R20" s="56"/>
      <c r="S20" s="56"/>
      <c r="T20" s="56"/>
      <c r="U20" s="122">
        <f t="shared" si="5"/>
        <v>0</v>
      </c>
      <c r="V20" s="122">
        <f t="shared" si="6"/>
        <v>80</v>
      </c>
      <c r="W20" s="124">
        <f t="shared" si="7"/>
        <v>0</v>
      </c>
    </row>
    <row r="21" spans="1:23" x14ac:dyDescent="0.2">
      <c r="A21" s="8">
        <f t="shared" si="8"/>
        <v>44909</v>
      </c>
      <c r="B21" s="9"/>
      <c r="C21" s="9"/>
      <c r="D21" s="3" t="str">
        <f t="shared" si="0"/>
        <v/>
      </c>
      <c r="E21" s="4">
        <f t="shared" si="1"/>
        <v>0</v>
      </c>
      <c r="F21" s="5">
        <f t="shared" si="2"/>
        <v>0</v>
      </c>
      <c r="G21" s="146"/>
      <c r="H21" s="147"/>
      <c r="I21" s="148"/>
      <c r="J21" s="9"/>
      <c r="K21" s="9"/>
      <c r="L21" s="10"/>
      <c r="M21" s="7">
        <f t="shared" si="3"/>
        <v>0</v>
      </c>
      <c r="N21" s="44" t="str">
        <f t="shared" ca="1" si="4"/>
        <v/>
      </c>
      <c r="O21" s="45"/>
      <c r="P21" s="56"/>
      <c r="Q21" s="56"/>
      <c r="R21" s="56"/>
      <c r="S21" s="56"/>
      <c r="T21" s="56"/>
      <c r="U21" s="122">
        <f t="shared" si="5"/>
        <v>1</v>
      </c>
      <c r="V21" s="122">
        <f t="shared" si="6"/>
        <v>88</v>
      </c>
      <c r="W21" s="124">
        <f t="shared" si="7"/>
        <v>0</v>
      </c>
    </row>
    <row r="22" spans="1:23" x14ac:dyDescent="0.2">
      <c r="A22" s="8">
        <f t="shared" si="8"/>
        <v>44910</v>
      </c>
      <c r="B22" s="9"/>
      <c r="C22" s="144"/>
      <c r="D22" s="3" t="str">
        <f t="shared" si="0"/>
        <v/>
      </c>
      <c r="E22" s="4">
        <f t="shared" si="1"/>
        <v>0</v>
      </c>
      <c r="F22" s="5">
        <f t="shared" si="2"/>
        <v>0</v>
      </c>
      <c r="G22" s="146"/>
      <c r="H22" s="147"/>
      <c r="I22" s="148"/>
      <c r="J22" s="9"/>
      <c r="K22" s="9"/>
      <c r="L22" s="10"/>
      <c r="M22" s="7">
        <f t="shared" si="3"/>
        <v>0</v>
      </c>
      <c r="N22" s="44" t="str">
        <f t="shared" ca="1" si="4"/>
        <v/>
      </c>
      <c r="O22" s="45"/>
      <c r="P22" s="56"/>
      <c r="Q22" s="56"/>
      <c r="R22" s="56"/>
      <c r="S22" s="56"/>
      <c r="T22" s="56"/>
      <c r="U22" s="122">
        <f t="shared" si="5"/>
        <v>2</v>
      </c>
      <c r="V22" s="122">
        <f t="shared" si="6"/>
        <v>96</v>
      </c>
      <c r="W22" s="124">
        <f t="shared" si="7"/>
        <v>0</v>
      </c>
    </row>
    <row r="23" spans="1:23" x14ac:dyDescent="0.2">
      <c r="A23" s="8">
        <f t="shared" si="8"/>
        <v>44911</v>
      </c>
      <c r="B23" s="9"/>
      <c r="C23" s="9"/>
      <c r="D23" s="3" t="str">
        <f t="shared" si="0"/>
        <v/>
      </c>
      <c r="E23" s="4">
        <f t="shared" si="1"/>
        <v>0</v>
      </c>
      <c r="F23" s="5">
        <f t="shared" si="2"/>
        <v>0</v>
      </c>
      <c r="G23" s="146"/>
      <c r="H23" s="147"/>
      <c r="I23" s="148"/>
      <c r="J23" s="9"/>
      <c r="K23" s="9"/>
      <c r="L23" s="10"/>
      <c r="M23" s="7">
        <f t="shared" si="3"/>
        <v>0</v>
      </c>
      <c r="N23" s="44" t="str">
        <f t="shared" ca="1" si="4"/>
        <v/>
      </c>
      <c r="O23" s="45"/>
      <c r="P23" s="56"/>
      <c r="Q23" s="56"/>
      <c r="R23" s="56"/>
      <c r="S23" s="56"/>
      <c r="T23" s="56"/>
      <c r="U23" s="122">
        <f t="shared" si="5"/>
        <v>3</v>
      </c>
      <c r="V23" s="122">
        <f t="shared" si="6"/>
        <v>104</v>
      </c>
      <c r="W23" s="124">
        <f t="shared" si="7"/>
        <v>0</v>
      </c>
    </row>
    <row r="24" spans="1:23" x14ac:dyDescent="0.2">
      <c r="A24" s="8">
        <f t="shared" si="8"/>
        <v>44912</v>
      </c>
      <c r="B24" s="9"/>
      <c r="C24" s="9"/>
      <c r="D24" s="3" t="str">
        <f t="shared" si="0"/>
        <v/>
      </c>
      <c r="E24" s="4">
        <f t="shared" si="1"/>
        <v>0</v>
      </c>
      <c r="F24" s="5">
        <f t="shared" si="2"/>
        <v>0</v>
      </c>
      <c r="G24" s="146"/>
      <c r="H24" s="147"/>
      <c r="I24" s="148"/>
      <c r="J24" s="9"/>
      <c r="K24" s="9"/>
      <c r="L24" s="10"/>
      <c r="M24" s="7">
        <f t="shared" si="3"/>
        <v>0</v>
      </c>
      <c r="N24" s="44" t="str">
        <f t="shared" ca="1" si="4"/>
        <v/>
      </c>
      <c r="O24" s="45"/>
      <c r="P24" s="56"/>
      <c r="Q24" s="56"/>
      <c r="R24" s="56"/>
      <c r="S24" s="56"/>
      <c r="T24" s="56"/>
      <c r="U24" s="122">
        <f t="shared" si="5"/>
        <v>4</v>
      </c>
      <c r="V24" s="122">
        <f t="shared" si="6"/>
        <v>112</v>
      </c>
      <c r="W24" s="124">
        <f t="shared" si="7"/>
        <v>0</v>
      </c>
    </row>
    <row r="25" spans="1:23" x14ac:dyDescent="0.2">
      <c r="A25" s="8">
        <f t="shared" si="8"/>
        <v>44913</v>
      </c>
      <c r="B25" s="9"/>
      <c r="C25" s="9"/>
      <c r="D25" s="3" t="str">
        <f t="shared" si="0"/>
        <v/>
      </c>
      <c r="E25" s="4">
        <f t="shared" si="1"/>
        <v>0</v>
      </c>
      <c r="F25" s="5">
        <f t="shared" si="2"/>
        <v>0</v>
      </c>
      <c r="G25" s="146"/>
      <c r="H25" s="147"/>
      <c r="I25" s="148"/>
      <c r="J25" s="9"/>
      <c r="K25" s="9"/>
      <c r="L25" s="10"/>
      <c r="M25" s="7">
        <f t="shared" si="3"/>
        <v>0</v>
      </c>
      <c r="N25" s="44" t="str">
        <f t="shared" ca="1" si="4"/>
        <v/>
      </c>
      <c r="O25" s="45"/>
      <c r="P25" s="56"/>
      <c r="Q25" s="56"/>
      <c r="R25" s="56"/>
      <c r="S25" s="56"/>
      <c r="T25" s="56"/>
      <c r="U25" s="122">
        <f t="shared" si="5"/>
        <v>5</v>
      </c>
      <c r="V25" s="122">
        <f t="shared" si="6"/>
        <v>112</v>
      </c>
      <c r="W25" s="124">
        <f t="shared" si="7"/>
        <v>0</v>
      </c>
    </row>
    <row r="26" spans="1:23" x14ac:dyDescent="0.2">
      <c r="A26" s="8">
        <f t="shared" si="8"/>
        <v>44914</v>
      </c>
      <c r="B26" s="9"/>
      <c r="C26" s="9"/>
      <c r="D26" s="3" t="str">
        <f t="shared" si="0"/>
        <v/>
      </c>
      <c r="E26" s="4">
        <f t="shared" si="1"/>
        <v>0</v>
      </c>
      <c r="F26" s="5">
        <f t="shared" si="2"/>
        <v>0</v>
      </c>
      <c r="G26" s="146"/>
      <c r="H26" s="147"/>
      <c r="I26" s="148"/>
      <c r="J26" s="9"/>
      <c r="K26" s="9"/>
      <c r="L26" s="10"/>
      <c r="M26" s="7">
        <f t="shared" si="3"/>
        <v>0</v>
      </c>
      <c r="N26" s="44" t="str">
        <f t="shared" ca="1" si="4"/>
        <v/>
      </c>
      <c r="O26" s="45"/>
      <c r="P26" s="56"/>
      <c r="Q26" s="56"/>
      <c r="R26" s="56"/>
      <c r="S26" s="56"/>
      <c r="T26" s="56"/>
      <c r="U26" s="122">
        <f t="shared" si="5"/>
        <v>6</v>
      </c>
      <c r="V26" s="122">
        <f t="shared" si="6"/>
        <v>112</v>
      </c>
      <c r="W26" s="124">
        <f t="shared" si="7"/>
        <v>0</v>
      </c>
    </row>
    <row r="27" spans="1:23" x14ac:dyDescent="0.2">
      <c r="A27" s="8">
        <f t="shared" si="8"/>
        <v>44915</v>
      </c>
      <c r="B27" s="9"/>
      <c r="C27" s="9"/>
      <c r="D27" s="3" t="str">
        <f t="shared" si="0"/>
        <v/>
      </c>
      <c r="E27" s="4">
        <f t="shared" si="1"/>
        <v>0</v>
      </c>
      <c r="F27" s="5">
        <f t="shared" si="2"/>
        <v>0</v>
      </c>
      <c r="G27" s="146"/>
      <c r="H27" s="147"/>
      <c r="I27" s="148"/>
      <c r="J27" s="9"/>
      <c r="K27" s="9"/>
      <c r="L27" s="10"/>
      <c r="M27" s="7">
        <f t="shared" si="3"/>
        <v>0</v>
      </c>
      <c r="N27" s="44" t="str">
        <f t="shared" ca="1" si="4"/>
        <v/>
      </c>
      <c r="O27" s="45"/>
      <c r="P27" s="56"/>
      <c r="Q27" s="56"/>
      <c r="R27" s="56"/>
      <c r="S27" s="56"/>
      <c r="T27" s="56"/>
      <c r="U27" s="122">
        <f t="shared" si="5"/>
        <v>0</v>
      </c>
      <c r="V27" s="122">
        <f t="shared" si="6"/>
        <v>120</v>
      </c>
      <c r="W27" s="124">
        <f t="shared" si="7"/>
        <v>0</v>
      </c>
    </row>
    <row r="28" spans="1:23" x14ac:dyDescent="0.2">
      <c r="A28" s="8">
        <f t="shared" si="8"/>
        <v>44916</v>
      </c>
      <c r="B28" s="9"/>
      <c r="C28" s="9"/>
      <c r="D28" s="3" t="str">
        <f t="shared" si="0"/>
        <v/>
      </c>
      <c r="E28" s="4">
        <f t="shared" si="1"/>
        <v>0</v>
      </c>
      <c r="F28" s="5">
        <f t="shared" si="2"/>
        <v>0</v>
      </c>
      <c r="G28" s="146"/>
      <c r="H28" s="147"/>
      <c r="I28" s="148"/>
      <c r="J28" s="9"/>
      <c r="K28" s="9"/>
      <c r="L28" s="10"/>
      <c r="M28" s="7">
        <f t="shared" si="3"/>
        <v>0</v>
      </c>
      <c r="N28" s="44" t="str">
        <f t="shared" ca="1" si="4"/>
        <v/>
      </c>
      <c r="O28" s="45"/>
      <c r="P28" s="56"/>
      <c r="Q28" s="56"/>
      <c r="R28" s="56"/>
      <c r="S28" s="56"/>
      <c r="T28" s="56"/>
      <c r="U28" s="122">
        <f t="shared" si="5"/>
        <v>1</v>
      </c>
      <c r="V28" s="122">
        <f t="shared" si="6"/>
        <v>128</v>
      </c>
      <c r="W28" s="124">
        <f t="shared" si="7"/>
        <v>0</v>
      </c>
    </row>
    <row r="29" spans="1:23" x14ac:dyDescent="0.2">
      <c r="A29" s="8">
        <f t="shared" si="8"/>
        <v>44917</v>
      </c>
      <c r="B29" s="9"/>
      <c r="C29" s="9"/>
      <c r="D29" s="3" t="str">
        <f t="shared" si="0"/>
        <v/>
      </c>
      <c r="E29" s="4">
        <f t="shared" si="1"/>
        <v>0</v>
      </c>
      <c r="F29" s="5">
        <f t="shared" si="2"/>
        <v>0</v>
      </c>
      <c r="G29" s="146"/>
      <c r="H29" s="147"/>
      <c r="I29" s="148"/>
      <c r="J29" s="9"/>
      <c r="K29" s="9"/>
      <c r="L29" s="10"/>
      <c r="M29" s="7">
        <f t="shared" si="3"/>
        <v>0</v>
      </c>
      <c r="N29" s="44" t="str">
        <f t="shared" ca="1" si="4"/>
        <v/>
      </c>
      <c r="O29" s="45"/>
      <c r="P29" s="56"/>
      <c r="Q29" s="56"/>
      <c r="R29" s="56"/>
      <c r="S29" s="56"/>
      <c r="T29" s="56"/>
      <c r="U29" s="122">
        <f t="shared" si="5"/>
        <v>2</v>
      </c>
      <c r="V29" s="122">
        <f t="shared" si="6"/>
        <v>136</v>
      </c>
      <c r="W29" s="124">
        <f t="shared" si="7"/>
        <v>0</v>
      </c>
    </row>
    <row r="30" spans="1:23" x14ac:dyDescent="0.2">
      <c r="A30" s="8">
        <f t="shared" si="8"/>
        <v>44918</v>
      </c>
      <c r="B30" s="9"/>
      <c r="C30" s="9"/>
      <c r="D30" s="3" t="str">
        <f t="shared" si="0"/>
        <v/>
      </c>
      <c r="E30" s="4">
        <f t="shared" si="1"/>
        <v>0</v>
      </c>
      <c r="F30" s="5">
        <f t="shared" si="2"/>
        <v>0</v>
      </c>
      <c r="G30" s="146" t="s">
        <v>96</v>
      </c>
      <c r="H30" s="147"/>
      <c r="I30" s="148"/>
      <c r="J30" s="9"/>
      <c r="K30" s="9"/>
      <c r="L30" s="10"/>
      <c r="M30" s="7">
        <f t="shared" si="3"/>
        <v>0</v>
      </c>
      <c r="N30" s="44" t="str">
        <f t="shared" ca="1" si="4"/>
        <v/>
      </c>
      <c r="O30" s="45"/>
      <c r="P30" s="56"/>
      <c r="Q30" s="56"/>
      <c r="R30" s="56"/>
      <c r="S30" s="56"/>
      <c r="T30" s="56"/>
      <c r="U30" s="122">
        <v>8</v>
      </c>
      <c r="V30" s="122">
        <f t="shared" si="6"/>
        <v>136</v>
      </c>
      <c r="W30" s="124">
        <f t="shared" si="7"/>
        <v>0</v>
      </c>
    </row>
    <row r="31" spans="1:23" x14ac:dyDescent="0.2">
      <c r="A31" s="8">
        <f t="shared" si="8"/>
        <v>44919</v>
      </c>
      <c r="B31" s="9"/>
      <c r="C31" s="9"/>
      <c r="D31" s="3" t="str">
        <f t="shared" si="0"/>
        <v/>
      </c>
      <c r="E31" s="4">
        <f t="shared" si="1"/>
        <v>0</v>
      </c>
      <c r="F31" s="5">
        <f t="shared" si="2"/>
        <v>0</v>
      </c>
      <c r="G31" s="146" t="s">
        <v>97</v>
      </c>
      <c r="H31" s="147"/>
      <c r="I31" s="148"/>
      <c r="J31" s="9"/>
      <c r="K31" s="9"/>
      <c r="L31" s="10"/>
      <c r="M31" s="7">
        <f t="shared" si="3"/>
        <v>0</v>
      </c>
      <c r="N31" s="44" t="str">
        <f t="shared" ca="1" si="4"/>
        <v/>
      </c>
      <c r="O31" s="45"/>
      <c r="P31" s="56"/>
      <c r="Q31" s="56"/>
      <c r="R31" s="56"/>
      <c r="S31" s="56"/>
      <c r="T31" s="56"/>
      <c r="U31" s="122">
        <v>8</v>
      </c>
      <c r="V31" s="122">
        <f t="shared" si="6"/>
        <v>136</v>
      </c>
      <c r="W31" s="124">
        <f t="shared" si="7"/>
        <v>0</v>
      </c>
    </row>
    <row r="32" spans="1:23" x14ac:dyDescent="0.2">
      <c r="A32" s="8">
        <f t="shared" si="8"/>
        <v>44920</v>
      </c>
      <c r="B32" s="9"/>
      <c r="C32" s="9"/>
      <c r="D32" s="3" t="str">
        <f t="shared" si="0"/>
        <v/>
      </c>
      <c r="E32" s="4">
        <f t="shared" si="1"/>
        <v>0</v>
      </c>
      <c r="F32" s="5">
        <f t="shared" si="2"/>
        <v>0</v>
      </c>
      <c r="G32" s="146" t="s">
        <v>98</v>
      </c>
      <c r="H32" s="147"/>
      <c r="I32" s="148"/>
      <c r="J32" s="9"/>
      <c r="K32" s="9"/>
      <c r="L32" s="10"/>
      <c r="M32" s="7">
        <f t="shared" si="3"/>
        <v>0</v>
      </c>
      <c r="N32" s="44" t="str">
        <f t="shared" ca="1" si="4"/>
        <v/>
      </c>
      <c r="O32" s="45"/>
      <c r="P32" s="56"/>
      <c r="Q32" s="56"/>
      <c r="R32" s="56"/>
      <c r="S32" s="56"/>
      <c r="T32" s="56"/>
      <c r="U32" s="122">
        <f>IF(A32="",0,WEEKDAY(A32,3))</f>
        <v>5</v>
      </c>
      <c r="V32" s="122">
        <f t="shared" si="6"/>
        <v>136</v>
      </c>
      <c r="W32" s="124">
        <f t="shared" si="7"/>
        <v>0</v>
      </c>
    </row>
    <row r="33" spans="1:23" x14ac:dyDescent="0.2">
      <c r="A33" s="8">
        <f t="shared" si="8"/>
        <v>44921</v>
      </c>
      <c r="B33" s="9"/>
      <c r="C33" s="9"/>
      <c r="D33" s="3" t="str">
        <f t="shared" si="0"/>
        <v/>
      </c>
      <c r="E33" s="4">
        <f t="shared" si="1"/>
        <v>0</v>
      </c>
      <c r="F33" s="5">
        <f t="shared" si="2"/>
        <v>0</v>
      </c>
      <c r="G33" s="146"/>
      <c r="H33" s="147"/>
      <c r="I33" s="148"/>
      <c r="J33" s="9"/>
      <c r="K33" s="9"/>
      <c r="L33" s="10"/>
      <c r="M33" s="7">
        <f t="shared" si="3"/>
        <v>0</v>
      </c>
      <c r="N33" s="44" t="str">
        <f t="shared" ca="1" si="4"/>
        <v/>
      </c>
      <c r="O33" s="45"/>
      <c r="P33" s="56"/>
      <c r="Q33" s="56"/>
      <c r="R33" s="56"/>
      <c r="S33" s="56"/>
      <c r="T33" s="56"/>
      <c r="U33" s="122">
        <f>IF(A33="",0,WEEKDAY(A33,3))</f>
        <v>6</v>
      </c>
      <c r="V33" s="122">
        <f t="shared" si="6"/>
        <v>136</v>
      </c>
      <c r="W33" s="124">
        <f t="shared" si="7"/>
        <v>0</v>
      </c>
    </row>
    <row r="34" spans="1:23" x14ac:dyDescent="0.2">
      <c r="A34" s="8">
        <f t="shared" si="8"/>
        <v>44922</v>
      </c>
      <c r="B34" s="9"/>
      <c r="C34" s="9"/>
      <c r="D34" s="3" t="str">
        <f t="shared" si="0"/>
        <v/>
      </c>
      <c r="E34" s="4">
        <f t="shared" si="1"/>
        <v>0</v>
      </c>
      <c r="F34" s="5">
        <f t="shared" si="2"/>
        <v>0</v>
      </c>
      <c r="G34" s="146"/>
      <c r="H34" s="147"/>
      <c r="I34" s="148"/>
      <c r="J34" s="9"/>
      <c r="K34" s="9"/>
      <c r="L34" s="10"/>
      <c r="M34" s="7">
        <f t="shared" si="3"/>
        <v>0</v>
      </c>
      <c r="N34" s="44" t="str">
        <f t="shared" ca="1" si="4"/>
        <v/>
      </c>
      <c r="O34" s="45"/>
      <c r="P34" s="56"/>
      <c r="Q34" s="56"/>
      <c r="R34" s="56"/>
      <c r="S34" s="56"/>
      <c r="T34" s="56"/>
      <c r="U34" s="122">
        <f>IF(A34="",0,WEEKDAY(A34,3))</f>
        <v>0</v>
      </c>
      <c r="V34" s="122">
        <f t="shared" si="6"/>
        <v>144</v>
      </c>
      <c r="W34" s="124">
        <f t="shared" si="7"/>
        <v>0</v>
      </c>
    </row>
    <row r="35" spans="1:23" x14ac:dyDescent="0.2">
      <c r="A35" s="8">
        <f t="shared" si="8"/>
        <v>44923</v>
      </c>
      <c r="B35" s="9"/>
      <c r="C35" s="9"/>
      <c r="D35" s="3" t="str">
        <f t="shared" si="0"/>
        <v/>
      </c>
      <c r="E35" s="4">
        <f t="shared" si="1"/>
        <v>0</v>
      </c>
      <c r="F35" s="5">
        <f t="shared" si="2"/>
        <v>0</v>
      </c>
      <c r="G35" s="146"/>
      <c r="H35" s="147"/>
      <c r="I35" s="148"/>
      <c r="J35" s="9"/>
      <c r="K35" s="9"/>
      <c r="L35" s="10"/>
      <c r="M35" s="7">
        <f t="shared" si="3"/>
        <v>0</v>
      </c>
      <c r="N35" s="44" t="str">
        <f t="shared" ca="1" si="4"/>
        <v/>
      </c>
      <c r="O35" s="45"/>
      <c r="P35" s="56"/>
      <c r="Q35" s="56"/>
      <c r="R35" s="56"/>
      <c r="S35" s="56"/>
      <c r="T35" s="56"/>
      <c r="U35" s="122">
        <f>IF(A35="",0,WEEKDAY(A35,3))</f>
        <v>1</v>
      </c>
      <c r="V35" s="122">
        <f t="shared" si="6"/>
        <v>152</v>
      </c>
      <c r="W35" s="124">
        <f t="shared" si="7"/>
        <v>0</v>
      </c>
    </row>
    <row r="36" spans="1:23" x14ac:dyDescent="0.2">
      <c r="A36" s="8">
        <f t="shared" si="8"/>
        <v>44924</v>
      </c>
      <c r="B36" s="9"/>
      <c r="C36" s="9"/>
      <c r="D36" s="3" t="str">
        <f t="shared" si="0"/>
        <v/>
      </c>
      <c r="E36" s="4">
        <f t="shared" si="1"/>
        <v>0</v>
      </c>
      <c r="F36" s="5">
        <f t="shared" si="2"/>
        <v>0</v>
      </c>
      <c r="G36" s="146"/>
      <c r="H36" s="147"/>
      <c r="I36" s="148"/>
      <c r="J36" s="9"/>
      <c r="K36" s="9"/>
      <c r="L36" s="10"/>
      <c r="M36" s="7">
        <f t="shared" si="3"/>
        <v>0</v>
      </c>
      <c r="N36" s="44" t="str">
        <f t="shared" ca="1" si="4"/>
        <v/>
      </c>
      <c r="O36" s="45"/>
      <c r="P36" s="56"/>
      <c r="Q36" s="56"/>
      <c r="R36" s="56"/>
      <c r="S36" s="56"/>
      <c r="T36" s="56"/>
      <c r="U36" s="122">
        <f>IF(A36="",0,WEEKDAY(A36,3))</f>
        <v>2</v>
      </c>
      <c r="V36" s="122">
        <f t="shared" si="6"/>
        <v>160</v>
      </c>
      <c r="W36" s="124">
        <f t="shared" si="7"/>
        <v>0</v>
      </c>
    </row>
    <row r="37" spans="1:23" x14ac:dyDescent="0.2">
      <c r="A37" s="8">
        <f t="shared" si="8"/>
        <v>44925</v>
      </c>
      <c r="B37" s="9"/>
      <c r="C37" s="9"/>
      <c r="D37" s="3" t="str">
        <f t="shared" si="0"/>
        <v/>
      </c>
      <c r="E37" s="4">
        <f t="shared" si="1"/>
        <v>0</v>
      </c>
      <c r="F37" s="5">
        <f t="shared" si="2"/>
        <v>0</v>
      </c>
      <c r="G37" s="146" t="s">
        <v>99</v>
      </c>
      <c r="H37" s="147"/>
      <c r="I37" s="148"/>
      <c r="J37" s="9"/>
      <c r="K37" s="9"/>
      <c r="L37" s="10"/>
      <c r="M37" s="7">
        <f t="shared" si="3"/>
        <v>0</v>
      </c>
      <c r="N37" s="44" t="str">
        <f t="shared" ca="1" si="4"/>
        <v/>
      </c>
      <c r="O37" s="45"/>
      <c r="P37" s="56"/>
      <c r="Q37" s="56"/>
      <c r="R37" s="56"/>
      <c r="S37" s="56"/>
      <c r="T37" s="56"/>
      <c r="U37" s="122">
        <v>8</v>
      </c>
      <c r="V37" s="122">
        <f t="shared" si="6"/>
        <v>160</v>
      </c>
      <c r="W37" s="124">
        <f t="shared" si="7"/>
        <v>0</v>
      </c>
    </row>
    <row r="38" spans="1:23" x14ac:dyDescent="0.2">
      <c r="A38" s="12"/>
      <c r="G38" s="54"/>
      <c r="H38" s="54"/>
      <c r="I38" s="54"/>
      <c r="J38" s="55"/>
      <c r="K38" s="55"/>
      <c r="L38" s="54"/>
      <c r="P38" s="57">
        <f>SUM(P7:P37)</f>
        <v>0</v>
      </c>
      <c r="Q38" s="57">
        <f>SUM(Q7:Q37)</f>
        <v>0</v>
      </c>
      <c r="R38" s="57">
        <f>SUM(R7:R37)</f>
        <v>0</v>
      </c>
      <c r="S38" s="57">
        <f>SUM(S7:S37)</f>
        <v>0</v>
      </c>
      <c r="T38" s="57">
        <f>SUM(T7:T37)</f>
        <v>0</v>
      </c>
    </row>
    <row r="40" spans="1:23" x14ac:dyDescent="0.2">
      <c r="A40" s="13" t="str">
        <f>Blankettinfo</f>
        <v>Version 4.6 © LiU 2025-12-03</v>
      </c>
    </row>
  </sheetData>
  <mergeCells count="35">
    <mergeCell ref="G36:I36"/>
    <mergeCell ref="G27:I27"/>
    <mergeCell ref="G23:I23"/>
    <mergeCell ref="G8:I8"/>
    <mergeCell ref="G17:I17"/>
    <mergeCell ref="G37:I37"/>
    <mergeCell ref="G18:I18"/>
    <mergeCell ref="G34:I34"/>
    <mergeCell ref="G30:I30"/>
    <mergeCell ref="G15:I15"/>
    <mergeCell ref="G33:I33"/>
    <mergeCell ref="G24:I24"/>
    <mergeCell ref="G35:I35"/>
    <mergeCell ref="G20:I20"/>
    <mergeCell ref="G26:I26"/>
    <mergeCell ref="G29:I29"/>
    <mergeCell ref="G25:I25"/>
    <mergeCell ref="G16:I16"/>
    <mergeCell ref="G32:I32"/>
    <mergeCell ref="G22:I22"/>
    <mergeCell ref="G31:I31"/>
    <mergeCell ref="G10:I10"/>
    <mergeCell ref="G28:I28"/>
    <mergeCell ref="G19:I19"/>
    <mergeCell ref="G13:I13"/>
    <mergeCell ref="B1:D1"/>
    <mergeCell ref="G14:I14"/>
    <mergeCell ref="G9:I9"/>
    <mergeCell ref="G12:I12"/>
    <mergeCell ref="G21:I21"/>
    <mergeCell ref="G11:I11"/>
    <mergeCell ref="B3:D3"/>
    <mergeCell ref="G7:I7"/>
    <mergeCell ref="B4:C4"/>
    <mergeCell ref="B2:D2"/>
  </mergeCells>
  <conditionalFormatting sqref="A7:M37">
    <cfRule type="expression" dxfId="2" priority="1" stopIfTrue="1">
      <formula>$U7&gt;4</formula>
    </cfRule>
  </conditionalFormatting>
  <conditionalFormatting sqref="N7:N37">
    <cfRule type="cellIs" dxfId="1" priority="2" stopIfTrue="1" operator="greaterThanOrEqual">
      <formula>0</formula>
    </cfRule>
    <cfRule type="cellIs" dxfId="0" priority="3" stopIfTrue="1" operator="lessThan">
      <formula>0</formula>
    </cfRule>
  </conditionalFormatting>
  <dataValidations count="3">
    <dataValidation type="list" allowBlank="1" showInputMessage="1" showErrorMessage="1" sqref="L7:L37" xr:uid="{00000000-0002-0000-0E00-000000000000}">
      <formula1>"+,-"</formula1>
    </dataValidation>
    <dataValidation type="time" allowBlank="1" showInputMessage="1" showErrorMessage="1" errorTitle="Fel tidsformat" error="Ange tid som timmar och minuter med kolon som skiljetecken - till exempel 9:30 för klockan halv tio på förmiddagen." sqref="B7:C37 J7:K37" xr:uid="{00000000-0002-0000-0E00-000001000000}">
      <formula1>0</formula1>
      <formula2>0.999988425925926</formula2>
    </dataValidation>
    <dataValidation type="time" allowBlank="1" showInputMessage="1" showErrorMessage="1" errorTitle="Fel tidsformat" error="Lunchen måste vara minst 30 minuter - tiden anges med timmar och minuter, till exempel 0:45 för trekvarts timmes lunch." promptTitle="Lunchrast" prompt="Lunchen anges som 30 minuter när &quot;Slutar&quot;-tiden fyllts i. Ändra manuellt om lunchen är längre än 30 minuter." sqref="D7:D37" xr:uid="{00000000-0002-0000-0E00-000002000000}">
      <formula1>0.0208217592592593</formula1>
      <formula2>0.333333333333333</formula2>
    </dataValidation>
  </dataValidations>
  <pageMargins left="0.74803149606299213" right="0.74803149606299213" top="0.98425196850393704" bottom="0.98425196850393704" header="0.51181102362204722" footer="0.51181102362204722"/>
  <pageSetup paperSize="9" scale="64" orientation="landscape"/>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Kalkylblad</vt:lpstr>
      </vt:variant>
      <vt:variant>
        <vt:i4>15</vt:i4>
      </vt:variant>
      <vt:variant>
        <vt:lpstr>Namngivna områden</vt:lpstr>
      </vt:variant>
      <vt:variant>
        <vt:i4>33</vt:i4>
      </vt:variant>
    </vt:vector>
  </HeadingPairs>
  <TitlesOfParts>
    <vt:vector size="48" baseType="lpstr">
      <vt:lpstr>hjälp</vt:lpstr>
      <vt:lpstr>exempel</vt:lpstr>
      <vt:lpstr>översikt</vt:lpstr>
      <vt:lpstr>januari</vt:lpstr>
      <vt:lpstr>februari</vt:lpstr>
      <vt:lpstr>mars</vt:lpstr>
      <vt:lpstr>april</vt:lpstr>
      <vt:lpstr>maj</vt:lpstr>
      <vt:lpstr>juni</vt:lpstr>
      <vt:lpstr>juli</vt:lpstr>
      <vt:lpstr>augusti</vt:lpstr>
      <vt:lpstr>september</vt:lpstr>
      <vt:lpstr>oktober</vt:lpstr>
      <vt:lpstr>november</vt:lpstr>
      <vt:lpstr>december</vt:lpstr>
      <vt:lpstr>Blankettinfo</vt:lpstr>
      <vt:lpstr>Dagen</vt:lpstr>
      <vt:lpstr>Namn</vt:lpstr>
      <vt:lpstr>Pnr</vt:lpstr>
      <vt:lpstr>Rubrik</vt:lpstr>
      <vt:lpstr>Saldo_apr</vt:lpstr>
      <vt:lpstr>Saldo_aug</vt:lpstr>
      <vt:lpstr>Saldo_dec</vt:lpstr>
      <vt:lpstr>Saldo_feb</vt:lpstr>
      <vt:lpstr>Saldo_jan</vt:lpstr>
      <vt:lpstr>Saldo_jul</vt:lpstr>
      <vt:lpstr>Saldo_jun</vt:lpstr>
      <vt:lpstr>Saldo_maj</vt:lpstr>
      <vt:lpstr>Saldo_mar</vt:lpstr>
      <vt:lpstr>Saldo_nov</vt:lpstr>
      <vt:lpstr>Saldo_okt</vt:lpstr>
      <vt:lpstr>Saldo_sep</vt:lpstr>
      <vt:lpstr>Tjgrad</vt:lpstr>
      <vt:lpstr>UB_apr</vt:lpstr>
      <vt:lpstr>UB_aug</vt:lpstr>
      <vt:lpstr>UB_dec</vt:lpstr>
      <vt:lpstr>UB_feb</vt:lpstr>
      <vt:lpstr>UB_jan</vt:lpstr>
      <vt:lpstr>UB_jul</vt:lpstr>
      <vt:lpstr>UB_jun</vt:lpstr>
      <vt:lpstr>UB_maj</vt:lpstr>
      <vt:lpstr>UB_mar</vt:lpstr>
      <vt:lpstr>UB_nov</vt:lpstr>
      <vt:lpstr>UB_okt</vt:lpstr>
      <vt:lpstr>UB_sep</vt:lpstr>
      <vt:lpstr>februari!Utskriftsområde</vt:lpstr>
      <vt:lpstr>januari!Utskriftsområde</vt:lpstr>
      <vt:lpstr>översikt!Utskriftsområde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Henrik Ekberg</dc:creator>
  <cp:lastModifiedBy>Håkan Stensby</cp:lastModifiedBy>
  <dcterms:created xsi:type="dcterms:W3CDTF">2001-08-01T08:44:20Z</dcterms:created>
  <dcterms:modified xsi:type="dcterms:W3CDTF">2026-03-24T15:50:07Z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0x010100423A2DEFCC41E5499FC444B595127C8B003E7F35B8EDF0D5439B5629B8608E7078</vt:lpwstr>
  </property>
  <property fmtid="{D5CDD505-2E9C-101B-9397-08002B2CF9AE}" pid="3" name="liu_keywords">
    <vt:lpwstr/>
  </property>
</Properties>
</file>